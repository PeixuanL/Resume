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Qianxiao.Zhang\Desktop\10月\"/>
    </mc:Choice>
  </mc:AlternateContent>
  <xr:revisionPtr revIDLastSave="0" documentId="13_ncr:1_{591B3DA7-0D50-4B14-941D-05EB2FEFF966}" xr6:coauthVersionLast="47" xr6:coauthVersionMax="47" xr10:uidLastSave="{00000000-0000-0000-0000-000000000000}"/>
  <bookViews>
    <workbookView xWindow="28680" yWindow="-120" windowWidth="29040" windowHeight="17520" xr2:uid="{00000000-000D-0000-FFFF-FFFF00000000}"/>
  </bookViews>
  <sheets>
    <sheet name="DFS 12月版本功能清单" sheetId="2" r:id="rId1"/>
    <sheet name="DFS目前功能清单" sheetId="1" r:id="rId2"/>
  </sheets>
  <definedNames>
    <definedName name="_xlnm._FilterDatabase" localSheetId="0" hidden="1">'DFS 12月版本功能清单'!$A$3:$G$17</definedName>
    <definedName name="_xlnm._FilterDatabase" localSheetId="1" hidden="1">DFS目前功能清单!$A$1:$G$15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 l="1"/>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4" i="2"/>
  <c r="A15" i="1"/>
  <c r="A14" i="1"/>
  <c r="A13" i="1"/>
  <c r="A12" i="1"/>
  <c r="A11" i="1"/>
  <c r="A10" i="1"/>
  <c r="A9" i="1"/>
  <c r="A8" i="1"/>
  <c r="A7" i="1"/>
  <c r="A6" i="1"/>
  <c r="A5" i="1"/>
  <c r="A4" i="1"/>
  <c r="A3" i="1"/>
  <c r="A2" i="1"/>
  <c r="A114" i="1"/>
  <c r="A113" i="1"/>
  <c r="A112" i="1"/>
  <c r="A68" i="1"/>
  <c r="A67" i="1"/>
  <c r="A66" i="1"/>
  <c r="A65" i="1"/>
  <c r="A64" i="1"/>
  <c r="A63" i="1"/>
  <c r="A62" i="1"/>
  <c r="A61" i="1"/>
  <c r="A60" i="1"/>
  <c r="A59" i="1"/>
  <c r="A58" i="1"/>
  <c r="A57" i="1"/>
  <c r="A56" i="1"/>
  <c r="A55" i="1"/>
  <c r="A54" i="1"/>
  <c r="A53" i="1"/>
  <c r="A5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27" i="1"/>
  <c r="A26" i="1"/>
  <c r="A25" i="1"/>
  <c r="A120" i="1"/>
  <c r="A119" i="1"/>
  <c r="A118" i="1"/>
  <c r="A117" i="1"/>
  <c r="A116" i="1"/>
  <c r="A115" i="1"/>
  <c r="A51" i="1"/>
  <c r="A50" i="1"/>
  <c r="A49" i="1"/>
  <c r="A48" i="1"/>
  <c r="A47" i="1"/>
  <c r="A46" i="1"/>
  <c r="A45" i="1"/>
  <c r="A44" i="1"/>
  <c r="A43" i="1"/>
  <c r="A42" i="1"/>
  <c r="A41" i="1"/>
  <c r="A40" i="1"/>
  <c r="A39" i="1"/>
  <c r="A38" i="1"/>
  <c r="A37" i="1"/>
  <c r="A36" i="1"/>
  <c r="A35" i="1"/>
  <c r="A34" i="1"/>
  <c r="A33" i="1"/>
  <c r="A32" i="1"/>
  <c r="A31" i="1"/>
  <c r="A30" i="1"/>
  <c r="A29" i="1"/>
  <c r="A28" i="1"/>
  <c r="A24" i="1"/>
  <c r="A23" i="1"/>
  <c r="A22" i="1"/>
  <c r="A21" i="1"/>
  <c r="A20" i="1"/>
  <c r="A19" i="1"/>
  <c r="A18" i="1"/>
  <c r="A17" i="1"/>
  <c r="A16" i="1"/>
</calcChain>
</file>

<file path=xl/sharedStrings.xml><?xml version="1.0" encoding="utf-8"?>
<sst xmlns="http://schemas.openxmlformats.org/spreadsheetml/2006/main" count="980" uniqueCount="277">
  <si>
    <t>序号</t>
  </si>
  <si>
    <t>模块</t>
  </si>
  <si>
    <t>子模块</t>
  </si>
  <si>
    <t>功能点</t>
  </si>
  <si>
    <t>功能描述</t>
  </si>
  <si>
    <t>优先级</t>
  </si>
  <si>
    <t>数据源（接口）管理</t>
  </si>
  <si>
    <t>数据源接口列表页</t>
  </si>
  <si>
    <t>数据接口列表</t>
  </si>
  <si>
    <t>列表形式展示数据接口，展示api名称、API ID、数据集、接口分类、创建人、创建时间、接口权限、接口状态、api描述、操作（查看、删除）</t>
  </si>
  <si>
    <t>新增数据接口</t>
  </si>
  <si>
    <t>支持新增数据接口:弹窗填写api名称、ID、数据集、接口分类、时间、接口权限、接口状态、API描述；配置请求参数和返回参数</t>
  </si>
  <si>
    <t>配置API参数</t>
  </si>
  <si>
    <t>分别配置请求参数（）和返回参数</t>
  </si>
  <si>
    <t>删除数据源接口</t>
  </si>
  <si>
    <t>支持删除接口</t>
  </si>
  <si>
    <t>数据接口的详情</t>
  </si>
  <si>
    <t>查看数据接口详情</t>
  </si>
  <si>
    <t>搜索接口</t>
  </si>
  <si>
    <t>输入接口名称搜索接口</t>
  </si>
  <si>
    <t>筛选数据源接口</t>
  </si>
  <si>
    <t>通过筛选接口分类</t>
  </si>
  <si>
    <t>数据接口详情页</t>
  </si>
  <si>
    <t>查看接口详情</t>
  </si>
  <si>
    <t>查看数据接口详情：查看api名称、ID、数据集、创建人、创建时间、接口分类、时间、接口权限、接口状态、API描述；配置请求参数和返回参数</t>
  </si>
  <si>
    <t>编辑接口</t>
  </si>
  <si>
    <t>详情页支持对接口进行编辑，修改接口权限、接口状态等</t>
  </si>
  <si>
    <t>数据集管理</t>
  </si>
  <si>
    <t>数据列表</t>
  </si>
  <si>
    <t>查看全部航段数据</t>
  </si>
  <si>
    <t>数据筛选</t>
  </si>
  <si>
    <t>通过多个字段条件筛选数据</t>
  </si>
  <si>
    <t>数据查看</t>
  </si>
  <si>
    <t>进入数据预览界面查看数据集</t>
  </si>
  <si>
    <t>发起探索</t>
  </si>
  <si>
    <t>可多选发起探索</t>
  </si>
  <si>
    <t>数据可视化</t>
  </si>
  <si>
    <t>在查看数据时支持可视化</t>
  </si>
  <si>
    <t>自定义数据集首页</t>
  </si>
  <si>
    <t>数据集分类折叠栏展示数据类别</t>
  </si>
  <si>
    <t>数据类目展示</t>
  </si>
  <si>
    <t>搜索数据集类目</t>
  </si>
  <si>
    <t>左侧折叠栏支持通过数据集名称、标签、创建人搜索数据集</t>
  </si>
  <si>
    <t>新增分类</t>
  </si>
  <si>
    <t>在折叠栏中支持新增数据分类，也支持在分组内新增子分类。</t>
  </si>
  <si>
    <t>数据集列表</t>
  </si>
  <si>
    <t>选择单一分类查看该分类下的数据集列表。1、点击“发起探索”可筛选多个数据进行探索任务。2、可筛选数据。3、切换查看数据源数据集和csv数据集。3、列表展示数据集，可查看、重命名删除（创建人为自己时支持。）。</t>
  </si>
  <si>
    <t>新增数据集</t>
  </si>
  <si>
    <t>在单一分类中支持新增数据集，包括数据源数据集和csv上传。</t>
  </si>
  <si>
    <t>发起数据探索</t>
  </si>
  <si>
    <t>筛选多个数据进行探索任务。</t>
  </si>
  <si>
    <t>筛选数据</t>
  </si>
  <si>
    <t>数据集重命名、删除</t>
  </si>
  <si>
    <t>数据源数据集编辑</t>
  </si>
  <si>
    <t>类似新增，？可修改部分</t>
  </si>
  <si>
    <t>数据源数据集</t>
  </si>
  <si>
    <t>在探索任务阶段，或标签制定阶段，从现有数据集中抽取出的数据另存为探索数据集。1、同探索任务的规则相似，如</t>
  </si>
  <si>
    <t>数据集修改用户权限</t>
  </si>
  <si>
    <t>右键目录中的数据集管理权限</t>
  </si>
  <si>
    <t>数据预览</t>
  </si>
  <si>
    <t>数据集预览展示</t>
  </si>
  <si>
    <t>数据集查看仅展示5000行数据预览（如果要查看全部数据，下载后查看）、查看数据时需要能够选择不同频率（1hz、4hz等等）去查看和导出 支持可视化查看、数据集下载。</t>
  </si>
  <si>
    <t>标签</t>
  </si>
  <si>
    <t>参数组标签打在参数上；数据集标签放在数据集标题旁边。通过点击标签可以筛选数据集。筛选后的数据可以另存为csv数据。</t>
  </si>
  <si>
    <t>数据集打标签</t>
  </si>
  <si>
    <t>支持制定参数组标签或规则标签。参数组标签通过指定参数字段并匹配标签；数据集标签通过规则制定并匹配标签。标签在制定结束后选择是否对历史同源同构型的数据都打上该标签。</t>
  </si>
  <si>
    <t>数据集标签规则制定</t>
  </si>
  <si>
    <t>通过选择参数，并制定规则，选择数据集，匹配标签</t>
  </si>
  <si>
    <t>参数组标签规则制定</t>
  </si>
  <si>
    <t>选择参数，并匹配标签</t>
  </si>
  <si>
    <t>可视化功能</t>
  </si>
  <si>
    <t>数据导出——数据下载</t>
  </si>
  <si>
    <t>支持数据下载，但过大的数据集不支持下载。</t>
  </si>
  <si>
    <t>数据导出——数据接入其他业务系统</t>
  </si>
  <si>
    <t>图像种类</t>
  </si>
  <si>
    <t>包含散点图、折线图、柱状图；可视化展示默认为散点图，柱状图为正态分布图，确保每个图都有意义</t>
  </si>
  <si>
    <t>可视化基础查看功能</t>
  </si>
  <si>
    <t>功能包括：转为图片下载、框选放大、拖拽移动、放大缩小、自适应缩放、重置、提示辅助线、单挑提示、多条提示。</t>
  </si>
  <si>
    <t>可视化是否去掉空数据</t>
  </si>
  <si>
    <t>支持切换查看去除空数据时间段可视化图像，</t>
  </si>
  <si>
    <t>改变图线颜色</t>
  </si>
  <si>
    <t>使可视化视图针对每一个参数可视化清晰明确</t>
  </si>
  <si>
    <t>不同构型的参数展示</t>
  </si>
  <si>
    <t>查看不同构型的参数会分多个图像同页面对比展示</t>
  </si>
  <si>
    <t>可视化图默认展示特殊值</t>
  </si>
  <si>
    <t>默认展示最大值、最小值、中位数</t>
  </si>
  <si>
    <t>自定义数据集——新增数据集</t>
  </si>
  <si>
    <t>新增数据源数据集</t>
  </si>
  <si>
    <t>配置api接口，接入业务系统接口等（nifi封装）</t>
  </si>
  <si>
    <t>新增csv数据</t>
  </si>
  <si>
    <t>手动上传csv文件，填写数据集名称和数据集描述。</t>
  </si>
  <si>
    <t>自定义数据集——新增数据源数据集</t>
  </si>
  <si>
    <t>数据探索</t>
  </si>
  <si>
    <t>数据探索任务管理主页</t>
  </si>
  <si>
    <t>任务分类列表栏</t>
  </si>
  <si>
    <t>任务分类展示，支持新增分组，任务可以在列表栏中移动，改变分类和层级位置。</t>
  </si>
  <si>
    <t>任务查看</t>
  </si>
  <si>
    <t>在任务列表中选择任务，预览查看（展示探索任务的创建人、创建时间、描述、任务状态（执行、未执行），整个任务的执行记录等。），点击查看详情进入数据探索任务面板查看完整任务</t>
  </si>
  <si>
    <t>任务详情</t>
  </si>
  <si>
    <t>界面同数据探索详情页</t>
  </si>
  <si>
    <t>任务搜索</t>
  </si>
  <si>
    <t>支持通过任务名称搜索数据</t>
  </si>
  <si>
    <t>新增数据探索任务</t>
  </si>
  <si>
    <t>支持新增任务，弹窗内填写名称和任务描述。</t>
  </si>
  <si>
    <t>编辑数据探索任务</t>
  </si>
  <si>
    <t>完成新增后，单击编辑进入数据探索任务，后续同数据探索任务的功能介绍</t>
  </si>
  <si>
    <t>编辑数据探索任务——选择数据</t>
  </si>
  <si>
    <t>数据选择</t>
  </si>
  <si>
    <t>通过填写数据选择弹窗，支持1、选择多个数据集并通过参数筛选和时间筛选结合补充参数完成数据集筛选。2、通过标签组直接筛选数据集，再通过参数组进一步过滤，并通过补充参数完成数据集筛选。3、如果从数据管理模块通过数据筛选数据集，也同样可以使用1、2方法。确认后进入任务探索模板</t>
  </si>
  <si>
    <t>数据探索面板</t>
  </si>
  <si>
    <t>测试</t>
  </si>
  <si>
    <t>每个方法或完整的任务支持测试（仅利用200条数据跑一边任务，并预览查看结果），测试结果不保存。</t>
  </si>
  <si>
    <t>重置</t>
  </si>
  <si>
    <t>支持重置任务面板</t>
  </si>
  <si>
    <t>撤回</t>
  </si>
  <si>
    <t>支持撤回上一个任务编排</t>
  </si>
  <si>
    <t>取消撤回</t>
  </si>
  <si>
    <t>支持取消撤回</t>
  </si>
  <si>
    <t>保存</t>
  </si>
  <si>
    <t>将编排的任务保存进知识库中，在之后的任务中，可以用于后续任务探索编辑时做推荐。</t>
  </si>
  <si>
    <t>执行</t>
  </si>
  <si>
    <t>可以对画布编辑的所有内容统一执行。</t>
  </si>
  <si>
    <t>执行开始弹窗</t>
  </si>
  <si>
    <t>点击执行出现任务开始执行弹窗：展示时间、节点。可查看或关闭。3s后自动向右侧收起，查看进入执行记录——运行监控</t>
  </si>
  <si>
    <t>查看数据(预览)</t>
  </si>
  <si>
    <t>统一执行后查看数据结果，跳转到数据面板上查看。规则同数据预览。</t>
  </si>
  <si>
    <t>推荐</t>
  </si>
  <si>
    <t>点击推荐，画布根据参数给出推荐的方法和探索流程。</t>
  </si>
  <si>
    <t>数据验证</t>
  </si>
  <si>
    <t>支持选择历史数据，对过往数据采取建立的数据探索方法进行验证。</t>
  </si>
  <si>
    <t>发布</t>
  </si>
  <si>
    <t>数据探索任务建立完成后，可发布，发布前需选择飞机号</t>
  </si>
  <si>
    <t>数据探索面板——组件选择栏</t>
  </si>
  <si>
    <t>节点栏（预处理方法和特征提取方法、计算节点、预警规则节点、输出节点、模型节点）</t>
  </si>
  <si>
    <t>展示所有预处理方法和特征提取方法、计算节点、预警规则节点、输出节点、模型节点：内置和扩展。通过拖拽添加在编辑面板上</t>
  </si>
  <si>
    <t>数据探索面板——编辑面板</t>
  </si>
  <si>
    <t>任务编辑面板</t>
  </si>
  <si>
    <t>通过拖拉拽各种模块去编辑任务流程，通过节点间的连线去串联整个探索任务</t>
  </si>
  <si>
    <t>参数块</t>
  </si>
  <si>
    <t>参数块展示全部在数据选择中所选的全部参数。支持编辑（重新选择）和查看完整数据集</t>
  </si>
  <si>
    <t>预处理方法块</t>
  </si>
  <si>
    <t>预处理方法块上展示预处理方法名称，模块支持单独模块功能的执行，结果查看，节点删除。悬停展示方法描述。</t>
  </si>
  <si>
    <t>特征提取方法块</t>
  </si>
  <si>
    <t>数据分析方法块展示方法名称，同时方法块上填写数据分析时辅助参数的数值。支持单独模块功能的执行，结果查看，模块删除。</t>
  </si>
  <si>
    <t>输出节点块</t>
  </si>
  <si>
    <t>将方法块与输出节点块相连、将输出的数据以参数字段的维度展示在预警模块上。输出节点块支持查看、删除。输出节点块包括预处理输出节点、特征值输出节点。</t>
  </si>
  <si>
    <t>计算规则节点块</t>
  </si>
  <si>
    <t>支持同维度的参数和特征值之间的加减乘除规则运算和混合运算。1、支持制定占比规则，并查看每种规则的占比。2、并输出计算结果，可以选择单独查看或管理参数查看（计算指标关联参数或完整数据集）</t>
  </si>
  <si>
    <t>预警块</t>
  </si>
  <si>
    <t>1、每种预警有不同的制定面板，规则预警（趋势预警、突变预警）模型预警（趋势预警、突变预警），预警标签。2、预警块展示预警种类、预警级别、预警频率类型（持续次数、持续时间）、预警频率次数/预警时长。支持单独模块的验证、数据查看、删除。</t>
  </si>
  <si>
    <t>数据探索面板——辅助工具栏</t>
  </si>
  <si>
    <t>执行记录——运行监控</t>
  </si>
  <si>
    <t>支持多线程任务执行和监控，单一任务展示任务时间、执行节点、运行监控（真实进度条），可终止操作，终止后任务进入运行记录中，可查看详情。</t>
  </si>
  <si>
    <t>执行记录——运行历史</t>
  </si>
  <si>
    <t>查看每次的任务的执行记录。成功的记录展示：时间、执行节点、执行结果（成功）。失败的记录展示：时间、执行节点、执行结果（失败）、错误节点。支持查看执行记录详情。</t>
  </si>
  <si>
    <t>方法详情</t>
  </si>
  <si>
    <t>点击预处理方法块支持查看方法详情，详情展示内容与方法库中相同</t>
  </si>
  <si>
    <t>推荐方法</t>
  </si>
  <si>
    <t>当参数选择完成时会给出完整的数据探索方法推荐。以及在编排过程中，可右键单一参数，选择推荐，会给出单独方法块、预警规则块推荐</t>
  </si>
  <si>
    <t>数据探索详情页</t>
  </si>
  <si>
    <t>查看数据探索任务详情</t>
  </si>
  <si>
    <t>查看已经发布的数据探索任务详情，包括任务基本信息和任务画布</t>
  </si>
  <si>
    <t>执行中的数据预览</t>
  </si>
  <si>
    <t>规则同数据库的数据预览</t>
  </si>
  <si>
    <t>主页</t>
  </si>
  <si>
    <t>新增方法</t>
  </si>
  <si>
    <t>支持方法扩展（写脚本或接入模型）</t>
  </si>
  <si>
    <t>方法列表</t>
  </si>
  <si>
    <t>列表展示方法名称、类型（内置或自定义）、创建者、创建时间、状态；支持翻页查看；每条任务支持查看、编辑、修改</t>
  </si>
  <si>
    <t>搜索筛选</t>
  </si>
  <si>
    <t>通过名称、创建者进行搜索筛选</t>
  </si>
  <si>
    <t>新增预处理方法页</t>
  </si>
  <si>
    <t>新增脚本方法</t>
  </si>
  <si>
    <t>填写方法名称、脚本文件名，导入脚本文件或在内置的脚本编辑器撰写代码（脚本编辑器不支持语法高亮显示、智能代码提示等功能，不支持在线编译；仅txt功能）</t>
  </si>
  <si>
    <t>新增模型方法</t>
  </si>
  <si>
    <t>方法详情页</t>
  </si>
  <si>
    <t>脚本方法详情页</t>
  </si>
  <si>
    <t>展示基础信息（方法名称、创建者、创建时间、类型、脚本文件名、状态），脚本详情。支持编辑。</t>
  </si>
  <si>
    <t>内置方法详情页</t>
  </si>
  <si>
    <t>展示内置方法的概念和用法</t>
  </si>
  <si>
    <t>模型方法详情页</t>
  </si>
  <si>
    <t>方法编辑页</t>
  </si>
  <si>
    <t>脚本方法编辑页</t>
  </si>
  <si>
    <t>支持编辑脚本内容，脚本名称，内置方法不支持编辑</t>
  </si>
  <si>
    <t>模型方法编辑页</t>
  </si>
  <si>
    <t>新增特征提取方法页</t>
  </si>
  <si>
    <t>填写方法名称、脚本文件名，选择分析中涉及到的参数，导入脚本文件或在内置的脚本编辑器撰写代码（脚本编辑器不支持语法高亮显示、智能代码提示等功能，不支持在线编译；仅txt功能）</t>
  </si>
  <si>
    <t>展示基础信息（方法名称、创建者、创建时间、类型、脚本文件名、状态），参数（参数名称、参数描述）脚本详情。支持编辑。</t>
  </si>
  <si>
    <t>标签管理</t>
  </si>
  <si>
    <t>标签类目</t>
  </si>
  <si>
    <t>将标签分类管理，分类方式由用户自定义，支持新增分类。选择某一类型，类型下的标签以列表形式展示。</t>
  </si>
  <si>
    <t>新增标签类目</t>
  </si>
  <si>
    <t>新增弹窗，填写类别名称，选择类别状态（私有、公开），填写标签类目备注</t>
  </si>
  <si>
    <t>标签列表</t>
  </si>
  <si>
    <t>tab栏切换公开标签、私有标签；以列表形式展示标签展示单一标签信息，包括：标签名称、标签描述、标签类型（参数组标签、数据集标签）创建人、创建时间、管理数据集的查看、操作（查看、编辑、删除、公开（仅私有标签））。</t>
  </si>
  <si>
    <t>查看关联数据集</t>
  </si>
  <si>
    <t>点击查看，跳转到数据库中，数据库列表自动筛选出标签相关数据集，可点击查看打了该标签的数据集。</t>
  </si>
  <si>
    <t>新增标签</t>
  </si>
  <si>
    <t>新增弹窗，填写标签名称，选择标签类目、选择类别状态（私有、公开），选择标签类型（参数组标签、数据组表情），填写标签备注。</t>
  </si>
  <si>
    <t>标签筛选</t>
  </si>
  <si>
    <t>通过创建人、创建日期、标签类型筛选标签</t>
  </si>
  <si>
    <t>标签搜索</t>
  </si>
  <si>
    <t>搜索标签名称</t>
  </si>
  <si>
    <t>告警信息管理</t>
  </si>
  <si>
    <t>告警信息列表</t>
  </si>
  <si>
    <t>告警信息以列表展示，点击可以查看告警详情</t>
  </si>
  <si>
    <t>告警详情页</t>
  </si>
  <si>
    <t>查看探索任务详情</t>
  </si>
  <si>
    <t>查看数据</t>
  </si>
  <si>
    <t>支持数据预览中的所有功能</t>
  </si>
  <si>
    <t>用户管理</t>
  </si>
  <si>
    <t>用户列表页</t>
  </si>
  <si>
    <t>团队用户列表</t>
  </si>
  <si>
    <t>展示用户账号、姓名、部门、岗位、状态、创建时间，操作（详情、删除）</t>
  </si>
  <si>
    <t>用户角色划分</t>
  </si>
  <si>
    <t>初步划分为：管理员、专家，普通工程师，不同角色有不同功能权限，比如仅管理层有审批权限</t>
  </si>
  <si>
    <t>新增用户</t>
  </si>
  <si>
    <t>填写用户账号、姓名，选择部门、岗位</t>
  </si>
  <si>
    <t>编辑用户</t>
  </si>
  <si>
    <t>更改用户分类</t>
  </si>
  <si>
    <t>用户详情</t>
  </si>
  <si>
    <t>用弹窗形式展示基础信息</t>
  </si>
  <si>
    <t>删除用户</t>
  </si>
  <si>
    <t>将用户删除，权限作废</t>
  </si>
  <si>
    <t>审核管理</t>
  </si>
  <si>
    <t>提交任务页</t>
  </si>
  <si>
    <t>提交审批列表</t>
  </si>
  <si>
    <t>审核列表展示任务名称、创建人、创建时间、审核状态（待审核、审核通过、已拒绝）</t>
  </si>
  <si>
    <t>筛选</t>
  </si>
  <si>
    <t>通过创建人、创建日期、审核状态筛选标签</t>
  </si>
  <si>
    <t>删除</t>
  </si>
  <si>
    <t>可删除待审核的任务</t>
  </si>
  <si>
    <t>待审批列表页</t>
  </si>
  <si>
    <t>待审批列表</t>
  </si>
  <si>
    <t>通过tab切换已处理和未处理的列表；待审批列表展示任务名称、创建人、创建时间、审核状态（待审核、审核通过、已拒绝）</t>
  </si>
  <si>
    <t>审批页</t>
  </si>
  <si>
    <t>审核时可查提交的任务描述、以及探索任务画布</t>
  </si>
  <si>
    <t>审批是否通过</t>
  </si>
  <si>
    <t>通过选中项确认是否通过</t>
  </si>
  <si>
    <t>审批建议</t>
  </si>
  <si>
    <t>填写审批建议</t>
  </si>
  <si>
    <t>P3</t>
  </si>
  <si>
    <t>P3</t>
    <phoneticPr fontId="29" type="noConversion"/>
  </si>
  <si>
    <t>P1</t>
  </si>
  <si>
    <t>P1</t>
    <phoneticPr fontId="29" type="noConversion"/>
  </si>
  <si>
    <t>P2</t>
  </si>
  <si>
    <t>P2</t>
    <phoneticPr fontId="29" type="noConversion"/>
  </si>
  <si>
    <r>
      <t>p1是客户优先级最高，迫切要实现完整且流畅操作的功能。</t>
    </r>
    <r>
      <rPr>
        <sz val="10"/>
        <color rgb="FFFF0000"/>
        <rFont val="等线"/>
        <family val="3"/>
        <charset val="134"/>
        <scheme val="minor"/>
      </rPr>
      <t>目前已经进入开发，预计六周之内可以完成。</t>
    </r>
    <phoneticPr fontId="29" type="noConversion"/>
  </si>
  <si>
    <r>
      <t>p2是为保证ameco交付产品完整性，产品需要涵盖的功能。</t>
    </r>
    <r>
      <rPr>
        <sz val="10"/>
        <color rgb="FFFF0000"/>
        <rFont val="等线"/>
        <family val="3"/>
        <charset val="134"/>
        <scheme val="minor"/>
      </rPr>
      <t>预计12月底前完成。</t>
    </r>
    <phoneticPr fontId="29" type="noConversion"/>
  </si>
  <si>
    <t>p3是为保证dfs产品的的完整性，产品需要涵盖的功能。</t>
    <phoneticPr fontId="29" type="noConversion"/>
  </si>
  <si>
    <t>分类</t>
    <phoneticPr fontId="29" type="noConversion"/>
  </si>
  <si>
    <t>1-数据接入</t>
  </si>
  <si>
    <t>1-数据接入</t>
    <phoneticPr fontId="29" type="noConversion"/>
  </si>
  <si>
    <t>3-数据清洗</t>
  </si>
  <si>
    <t>3-数据清洗</t>
    <phoneticPr fontId="29" type="noConversion"/>
  </si>
  <si>
    <t>6-数据可视化</t>
  </si>
  <si>
    <t>6-数据可视化</t>
    <phoneticPr fontId="29" type="noConversion"/>
  </si>
  <si>
    <t>4-数据计算</t>
  </si>
  <si>
    <t>4-数据计算</t>
    <phoneticPr fontId="29" type="noConversion"/>
  </si>
  <si>
    <t>0-基础功能</t>
  </si>
  <si>
    <t>0-基础功能</t>
    <phoneticPr fontId="29" type="noConversion"/>
  </si>
  <si>
    <t>数据可视化</t>
    <phoneticPr fontId="29" type="noConversion"/>
  </si>
  <si>
    <t>数据源数据集管理</t>
    <phoneticPr fontId="29" type="noConversion"/>
  </si>
  <si>
    <t>航段数据集页面</t>
    <phoneticPr fontId="29" type="noConversion"/>
  </si>
  <si>
    <t>特征提取方法管理</t>
    <phoneticPr fontId="29" type="noConversion"/>
  </si>
  <si>
    <t>预处理方法管理</t>
    <phoneticPr fontId="29" type="noConversion"/>
  </si>
  <si>
    <t>自定义数据集——新增数据集</t>
    <phoneticPr fontId="29" type="noConversion"/>
  </si>
  <si>
    <t>数据集页面</t>
    <phoneticPr fontId="29" type="noConversion"/>
  </si>
  <si>
    <t>查看全部数据</t>
    <phoneticPr fontId="29" type="noConversion"/>
  </si>
  <si>
    <t>12月DFS版本功能简述：
1.具备基础的用户管理与审核管理功能;
2.可接入多种数据源，但无法通过可视化页面对数据源进行管理与配置；
3.原生具备数据源与孪生体的关联能力：
4.可通过特征值、标签等方式进行数据ETL；
5.可基于导入的数据进行数据探索，并可通过设置预处理方法及计算规则，输出数据计算结果；
6.可配置不同的告警规则，当计算结果符合规则时，进行告警提示；
7.具备基础的数据可视化能力，可通过不同的图像种类进行数据呈现。</t>
    <phoneticPr fontId="29" type="noConversion"/>
  </si>
  <si>
    <t>DFS 12月版本功能清单</t>
    <phoneticPr fontId="29" type="noConversion"/>
  </si>
  <si>
    <t>用户列表页</t>
    <phoneticPr fontId="29" type="noConversion"/>
  </si>
  <si>
    <t>主页</t>
    <phoneticPr fontId="29" type="noConversion"/>
  </si>
  <si>
    <t>标签管理</t>
    <phoneticPr fontId="29" type="noConversion"/>
  </si>
  <si>
    <t>数据探索面板——组件选择栏</t>
    <phoneticPr fontId="29" type="noConversion"/>
  </si>
  <si>
    <t>子模块</t>
    <phoneticPr fontId="29" type="noConversion"/>
  </si>
  <si>
    <t>团队用户列表</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</si>
</sst>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theme="1"/>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10.5"/>
      <color rgb="FF1F2329"/>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
      <sz val="10"/>
      <color rgb="FFFF0000"/>
      <name val="等线"/>
      <family val="3"/>
      <charset val="134"/>
      <scheme val="minor"/>
    </font>
    <font>
      <b/>
      <sz val="14"/>
      <color theme="1"/>
      <name val="等线"/>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rgb="FFFFFF00"/>
        <bgColor indexed="64"/>
      </patternFill>
    </fill>
  </fills>
  <borders count="32">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bottom/>
      <diagonal/>
    </border>
    <border>
      <left style="thin">
        <color rgb="FF1F2329"/>
      </left>
      <right style="thin">
        <color rgb="FF000000"/>
      </right>
      <top style="thin">
        <color rgb="FF1F2329"/>
      </top>
      <bottom/>
      <diagonal/>
    </border>
    <border>
      <left/>
      <right/>
      <top/>
      <bottom style="thin">
        <color rgb="FF1F2329"/>
      </bottom>
      <diagonal/>
    </border>
  </borders>
  <cellStyleXfs count="1">
    <xf numFmtId="0" fontId="0" fillId="0" borderId="0" applyNumberFormat="0" applyFont="0" applyFill="0" applyBorder="0" applyProtection="0"/>
  </cellStyleXfs>
  <cellXfs count="55">
    <xf numFmtId="0" fontId="0" fillId="0" borderId="0" xfId="0" applyAlignment="1">
      <alignment vertical="center"/>
    </xf>
    <xf numFmtId="0" fontId="9" fillId="0" borderId="9" xfId="0" applyFont="1" applyBorder="1" applyAlignment="1">
      <alignment vertical="center"/>
    </xf>
    <xf numFmtId="0" fontId="0" fillId="0" borderId="0" xfId="0" applyAlignment="1">
      <alignment vertical="center" wrapText="1"/>
    </xf>
    <xf numFmtId="0" fontId="3" fillId="2" borderId="3" xfId="0" applyFont="1" applyFill="1" applyBorder="1" applyAlignment="1">
      <alignment horizontal="center" vertical="center" wrapText="1"/>
    </xf>
    <xf numFmtId="0" fontId="17" fillId="2" borderId="17" xfId="0" applyFont="1" applyFill="1" applyBorder="1" applyAlignment="1">
      <alignment vertical="center" wrapText="1"/>
    </xf>
    <xf numFmtId="0" fontId="1" fillId="2" borderId="1" xfId="0" applyFont="1" applyFill="1" applyBorder="1" applyAlignment="1">
      <alignment vertical="center" wrapText="1"/>
    </xf>
    <xf numFmtId="0" fontId="9" fillId="2" borderId="9" xfId="0" applyFont="1" applyFill="1" applyBorder="1" applyAlignment="1">
      <alignment vertical="center"/>
    </xf>
    <xf numFmtId="0" fontId="14" fillId="2" borderId="14" xfId="0" applyFont="1" applyFill="1" applyBorder="1" applyAlignment="1">
      <alignment vertical="center" wrapText="1"/>
    </xf>
    <xf numFmtId="0" fontId="28" fillId="2" borderId="28" xfId="0" applyFont="1" applyFill="1" applyBorder="1" applyAlignment="1">
      <alignment vertical="center"/>
    </xf>
    <xf numFmtId="0" fontId="23" fillId="2" borderId="23" xfId="0" applyFont="1" applyFill="1" applyBorder="1" applyAlignment="1">
      <alignment vertical="center"/>
    </xf>
    <xf numFmtId="0" fontId="25" fillId="2" borderId="25" xfId="0" applyFont="1" applyFill="1" applyBorder="1" applyAlignment="1">
      <alignment vertical="center"/>
    </xf>
    <xf numFmtId="0" fontId="26" fillId="2" borderId="26" xfId="0" applyFont="1" applyFill="1" applyBorder="1" applyAlignment="1">
      <alignment horizontal="left" vertical="center" wrapText="1"/>
    </xf>
    <xf numFmtId="0" fontId="16" fillId="2" borderId="16" xfId="0" applyFont="1" applyFill="1" applyBorder="1" applyAlignment="1">
      <alignment vertical="center" wrapText="1"/>
    </xf>
    <xf numFmtId="0" fontId="15" fillId="2" borderId="15" xfId="0" applyFont="1" applyFill="1" applyBorder="1" applyAlignment="1">
      <alignment horizontal="left" vertical="center" wrapText="1"/>
    </xf>
    <xf numFmtId="0" fontId="10" fillId="2" borderId="10" xfId="0" applyFont="1" applyFill="1" applyBorder="1" applyAlignment="1">
      <alignment vertical="center" wrapText="1"/>
    </xf>
    <xf numFmtId="0" fontId="22" fillId="2" borderId="22" xfId="0" applyFont="1" applyFill="1" applyBorder="1" applyAlignment="1">
      <alignment vertical="center"/>
    </xf>
    <xf numFmtId="0" fontId="7" fillId="2" borderId="7" xfId="0" applyFont="1" applyFill="1" applyBorder="1" applyAlignment="1">
      <alignment vertical="center" wrapText="1"/>
    </xf>
    <xf numFmtId="0" fontId="8" fillId="2" borderId="8" xfId="0" applyFont="1" applyFill="1" applyBorder="1" applyAlignment="1">
      <alignment vertical="center" wrapText="1"/>
    </xf>
    <xf numFmtId="0" fontId="27" fillId="2" borderId="27" xfId="0" applyFont="1" applyFill="1" applyBorder="1" applyAlignment="1">
      <alignment vertical="center" wrapText="1"/>
    </xf>
    <xf numFmtId="0" fontId="11" fillId="2" borderId="11" xfId="0" applyFont="1" applyFill="1" applyBorder="1" applyAlignment="1">
      <alignment horizontal="left" vertical="center" wrapText="1"/>
    </xf>
    <xf numFmtId="0" fontId="12" fillId="2" borderId="12" xfId="0" applyFont="1" applyFill="1" applyBorder="1" applyAlignment="1">
      <alignment vertical="center" wrapText="1"/>
    </xf>
    <xf numFmtId="0" fontId="5" fillId="2" borderId="5" xfId="0" applyFont="1" applyFill="1" applyBorder="1" applyAlignment="1">
      <alignment vertical="center" wrapText="1"/>
    </xf>
    <xf numFmtId="0" fontId="20" fillId="2" borderId="20" xfId="0" applyFont="1" applyFill="1" applyBorder="1" applyAlignment="1">
      <alignment horizontal="left" vertical="center" wrapText="1"/>
    </xf>
    <xf numFmtId="0" fontId="21" fillId="2" borderId="21" xfId="0" applyFont="1" applyFill="1" applyBorder="1" applyAlignment="1">
      <alignment vertical="center" wrapText="1"/>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1" fillId="2" borderId="2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8" xfId="0" applyFont="1" applyFill="1" applyBorder="1" applyAlignment="1">
      <alignment vertical="center" wrapText="1"/>
    </xf>
    <xf numFmtId="0" fontId="1" fillId="2" borderId="3"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0" fillId="0" borderId="0" xfId="0" applyAlignment="1">
      <alignment horizontal="center" vertical="center"/>
    </xf>
    <xf numFmtId="0" fontId="1" fillId="2" borderId="3" xfId="0" applyFont="1" applyFill="1" applyBorder="1" applyAlignment="1">
      <alignment vertical="center" wrapText="1"/>
    </xf>
    <xf numFmtId="0" fontId="2" fillId="2" borderId="9" xfId="0" applyFont="1" applyFill="1" applyBorder="1" applyAlignment="1">
      <alignment vertical="center"/>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1" fillId="0" borderId="0" xfId="0" applyFont="1" applyAlignment="1">
      <alignment horizontal="center" vertical="center"/>
    </xf>
    <xf numFmtId="0" fontId="0" fillId="0" borderId="31" xfId="0" applyBorder="1" applyAlignment="1">
      <alignment horizontal="left" vertical="top" wrapText="1"/>
    </xf>
    <xf numFmtId="0" fontId="0" fillId="0" borderId="31" xfId="0" applyBorder="1" applyAlignment="1">
      <alignment horizontal="left" vertical="top"/>
    </xf>
    <xf numFmtId="0" fontId="6"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6" borderId="1" xfId="0" applyFont="1" applyFill="1" applyBorder="1" applyAlignment="1">
      <alignment vertical="center" wrapText="1"/>
    </xf>
    <xf numFmtId="0" fontId="1" fillId="2" borderId="1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F72E-B5ED-49A8-82B1-2346C677BCFB}">
  <sheetPr>
    <outlinePr summaryBelow="0" summaryRight="0"/>
  </sheetPr>
  <dimension ref="A1:I110"/>
  <sheetViews>
    <sheetView tabSelected="1" topLeftCell="A64" zoomScaleNormal="100" workbookViewId="0">
      <selection activeCell="E97" sqref="E97:E104"/>
    </sheetView>
  </sheetViews>
  <sheetFormatPr defaultColWidth="14" defaultRowHeight="13" x14ac:dyDescent="0.3"/>
  <cols>
    <col min="1" max="1" width="9" customWidth="1"/>
    <col min="2" max="2" width="14.36328125" style="32" customWidth="1"/>
    <col min="3" max="3" width="21" customWidth="1"/>
    <col min="4" max="4" width="20" customWidth="1"/>
    <col min="5" max="5" width="30" customWidth="1"/>
    <col min="6" max="6" width="52.1796875" customWidth="1"/>
    <col min="7" max="8" width="9" customWidth="1"/>
    <col min="9" max="9" width="39.1796875" customWidth="1"/>
    <col min="10" max="10" width="9" customWidth="1"/>
    <col min="11" max="11" width="97.1796875" bestFit="1" customWidth="1"/>
    <col min="12" max="21" width="9" customWidth="1"/>
  </cols>
  <sheetData>
    <row r="1" spans="1:9" ht="19.25" customHeight="1" x14ac:dyDescent="0.3">
      <c r="A1" s="40" t="s">
        <v>270</v>
      </c>
      <c r="B1" s="40"/>
      <c r="C1" s="40"/>
      <c r="D1" s="40"/>
      <c r="E1" s="40"/>
      <c r="F1" s="40"/>
      <c r="G1" s="40"/>
    </row>
    <row r="2" spans="1:9" ht="114.65" customHeight="1" x14ac:dyDescent="0.3">
      <c r="A2" s="41" t="s">
        <v>269</v>
      </c>
      <c r="B2" s="42"/>
      <c r="C2" s="42"/>
      <c r="D2" s="42"/>
      <c r="E2" s="42"/>
      <c r="F2" s="42"/>
      <c r="G2" s="42"/>
    </row>
    <row r="3" spans="1:9" ht="15" customHeight="1" x14ac:dyDescent="0.3">
      <c r="A3" s="3" t="s">
        <v>0</v>
      </c>
      <c r="B3" s="27" t="s">
        <v>250</v>
      </c>
      <c r="C3" s="3" t="s">
        <v>1</v>
      </c>
      <c r="D3" s="30" t="s">
        <v>275</v>
      </c>
      <c r="E3" s="3" t="s">
        <v>3</v>
      </c>
      <c r="F3" s="3" t="s">
        <v>4</v>
      </c>
      <c r="G3" s="3" t="s">
        <v>5</v>
      </c>
    </row>
    <row r="4" spans="1:9" ht="26.4" customHeight="1" x14ac:dyDescent="0.3">
      <c r="A4" s="3">
        <f>ROW()-3</f>
        <v>1</v>
      </c>
      <c r="B4" s="31" t="s">
        <v>260</v>
      </c>
      <c r="C4" s="47" t="s">
        <v>210</v>
      </c>
      <c r="D4" s="52" t="s">
        <v>271</v>
      </c>
      <c r="E4" s="54" t="s">
        <v>276</v>
      </c>
      <c r="F4" s="20" t="s">
        <v>213</v>
      </c>
      <c r="G4" s="24" t="s">
        <v>246</v>
      </c>
      <c r="H4" s="1"/>
      <c r="I4" s="2"/>
    </row>
    <row r="5" spans="1:9" ht="33" customHeight="1" x14ac:dyDescent="0.3">
      <c r="A5" s="3">
        <f t="shared" ref="A5:A68" si="0">ROW()-3</f>
        <v>2</v>
      </c>
      <c r="B5" s="31" t="s">
        <v>260</v>
      </c>
      <c r="C5" s="47"/>
      <c r="D5" s="47"/>
      <c r="E5" s="22" t="s">
        <v>214</v>
      </c>
      <c r="F5" s="23" t="s">
        <v>215</v>
      </c>
      <c r="G5" s="24" t="s">
        <v>246</v>
      </c>
      <c r="I5" s="2"/>
    </row>
    <row r="6" spans="1:9" ht="26.4" customHeight="1" x14ac:dyDescent="0.3">
      <c r="A6" s="3">
        <f t="shared" si="0"/>
        <v>3</v>
      </c>
      <c r="B6" s="31" t="s">
        <v>259</v>
      </c>
      <c r="C6" s="47"/>
      <c r="D6" s="47"/>
      <c r="E6" s="19" t="s">
        <v>216</v>
      </c>
      <c r="F6" s="20" t="s">
        <v>217</v>
      </c>
      <c r="G6" s="24" t="s">
        <v>245</v>
      </c>
      <c r="I6" s="2"/>
    </row>
    <row r="7" spans="1:9" ht="15" customHeight="1" x14ac:dyDescent="0.3">
      <c r="A7" s="3">
        <f t="shared" si="0"/>
        <v>4</v>
      </c>
      <c r="B7" s="31" t="s">
        <v>259</v>
      </c>
      <c r="C7" s="47"/>
      <c r="D7" s="47"/>
      <c r="E7" s="19" t="s">
        <v>218</v>
      </c>
      <c r="F7" s="20" t="s">
        <v>219</v>
      </c>
      <c r="G7" s="24" t="s">
        <v>245</v>
      </c>
    </row>
    <row r="8" spans="1:9" ht="15" customHeight="1" x14ac:dyDescent="0.3">
      <c r="A8" s="3">
        <f t="shared" si="0"/>
        <v>5</v>
      </c>
      <c r="B8" s="31" t="s">
        <v>259</v>
      </c>
      <c r="C8" s="47"/>
      <c r="D8" s="47"/>
      <c r="E8" s="19" t="s">
        <v>220</v>
      </c>
      <c r="F8" s="20" t="s">
        <v>221</v>
      </c>
      <c r="G8" s="24" t="s">
        <v>245</v>
      </c>
    </row>
    <row r="9" spans="1:9" ht="15" customHeight="1" x14ac:dyDescent="0.3">
      <c r="A9" s="3">
        <f t="shared" si="0"/>
        <v>6</v>
      </c>
      <c r="B9" s="31" t="s">
        <v>259</v>
      </c>
      <c r="C9" s="47"/>
      <c r="D9" s="47"/>
      <c r="E9" s="19" t="s">
        <v>222</v>
      </c>
      <c r="F9" s="20" t="s">
        <v>223</v>
      </c>
      <c r="G9" s="24" t="s">
        <v>245</v>
      </c>
    </row>
    <row r="10" spans="1:9" ht="36" customHeight="1" x14ac:dyDescent="0.3">
      <c r="A10" s="3">
        <f t="shared" si="0"/>
        <v>7</v>
      </c>
      <c r="B10" s="28" t="s">
        <v>260</v>
      </c>
      <c r="C10" s="35" t="s">
        <v>224</v>
      </c>
      <c r="D10" s="35" t="s">
        <v>225</v>
      </c>
      <c r="E10" s="5" t="s">
        <v>226</v>
      </c>
      <c r="F10" s="5" t="s">
        <v>227</v>
      </c>
      <c r="G10" s="24" t="s">
        <v>245</v>
      </c>
    </row>
    <row r="11" spans="1:9" ht="15" customHeight="1" x14ac:dyDescent="0.3">
      <c r="A11" s="3">
        <f t="shared" si="0"/>
        <v>8</v>
      </c>
      <c r="B11" s="31" t="s">
        <v>259</v>
      </c>
      <c r="C11" s="35"/>
      <c r="D11" s="35"/>
      <c r="E11" s="5" t="s">
        <v>228</v>
      </c>
      <c r="F11" s="5" t="s">
        <v>229</v>
      </c>
      <c r="G11" s="24" t="s">
        <v>245</v>
      </c>
    </row>
    <row r="12" spans="1:9" ht="15" customHeight="1" x14ac:dyDescent="0.3">
      <c r="A12" s="3">
        <f t="shared" si="0"/>
        <v>9</v>
      </c>
      <c r="B12" s="28" t="s">
        <v>259</v>
      </c>
      <c r="C12" s="35"/>
      <c r="D12" s="35"/>
      <c r="E12" s="5" t="s">
        <v>230</v>
      </c>
      <c r="F12" s="5" t="s">
        <v>231</v>
      </c>
      <c r="G12" s="24" t="s">
        <v>245</v>
      </c>
    </row>
    <row r="13" spans="1:9" ht="47" customHeight="1" x14ac:dyDescent="0.3">
      <c r="A13" s="3">
        <f t="shared" si="0"/>
        <v>10</v>
      </c>
      <c r="B13" s="31" t="s">
        <v>259</v>
      </c>
      <c r="C13" s="35"/>
      <c r="D13" s="35" t="s">
        <v>232</v>
      </c>
      <c r="E13" s="5" t="s">
        <v>233</v>
      </c>
      <c r="F13" s="5" t="s">
        <v>234</v>
      </c>
      <c r="G13" s="24" t="s">
        <v>245</v>
      </c>
    </row>
    <row r="14" spans="1:9" ht="15" customHeight="1" x14ac:dyDescent="0.3">
      <c r="A14" s="3">
        <f t="shared" si="0"/>
        <v>11</v>
      </c>
      <c r="B14" s="28" t="s">
        <v>259</v>
      </c>
      <c r="C14" s="35"/>
      <c r="D14" s="35"/>
      <c r="E14" s="5" t="s">
        <v>228</v>
      </c>
      <c r="F14" s="5" t="s">
        <v>229</v>
      </c>
      <c r="G14" s="24" t="s">
        <v>245</v>
      </c>
    </row>
    <row r="15" spans="1:9" ht="15" customHeight="1" x14ac:dyDescent="0.3">
      <c r="A15" s="3">
        <f t="shared" si="0"/>
        <v>12</v>
      </c>
      <c r="B15" s="31" t="s">
        <v>259</v>
      </c>
      <c r="C15" s="35"/>
      <c r="D15" s="35" t="s">
        <v>235</v>
      </c>
      <c r="E15" s="5" t="s">
        <v>98</v>
      </c>
      <c r="F15" s="5" t="s">
        <v>236</v>
      </c>
      <c r="G15" s="24" t="s">
        <v>245</v>
      </c>
    </row>
    <row r="16" spans="1:9" ht="15" customHeight="1" x14ac:dyDescent="0.3">
      <c r="A16" s="3">
        <f t="shared" si="0"/>
        <v>13</v>
      </c>
      <c r="B16" s="28" t="s">
        <v>259</v>
      </c>
      <c r="C16" s="35"/>
      <c r="D16" s="35"/>
      <c r="E16" s="5" t="s">
        <v>237</v>
      </c>
      <c r="F16" s="5" t="s">
        <v>238</v>
      </c>
      <c r="G16" s="24" t="s">
        <v>245</v>
      </c>
    </row>
    <row r="17" spans="1:7" ht="15" customHeight="1" x14ac:dyDescent="0.3">
      <c r="A17" s="3">
        <f t="shared" si="0"/>
        <v>14</v>
      </c>
      <c r="B17" s="31" t="s">
        <v>259</v>
      </c>
      <c r="C17" s="35"/>
      <c r="D17" s="35"/>
      <c r="E17" s="5" t="s">
        <v>239</v>
      </c>
      <c r="F17" s="5" t="s">
        <v>240</v>
      </c>
      <c r="G17" s="24" t="s">
        <v>245</v>
      </c>
    </row>
    <row r="18" spans="1:7" ht="27" x14ac:dyDescent="0.3">
      <c r="A18" s="3">
        <f t="shared" si="0"/>
        <v>15</v>
      </c>
      <c r="B18" s="27" t="s">
        <v>252</v>
      </c>
      <c r="C18" s="29" t="s">
        <v>262</v>
      </c>
      <c r="D18" s="33" t="s">
        <v>266</v>
      </c>
      <c r="E18" s="5" t="s">
        <v>89</v>
      </c>
      <c r="F18" s="5" t="s">
        <v>90</v>
      </c>
      <c r="G18" s="25" t="s">
        <v>244</v>
      </c>
    </row>
    <row r="19" spans="1:7" ht="13.5" x14ac:dyDescent="0.3">
      <c r="A19" s="3">
        <f t="shared" si="0"/>
        <v>16</v>
      </c>
      <c r="B19" s="27" t="s">
        <v>254</v>
      </c>
      <c r="C19" s="36" t="s">
        <v>27</v>
      </c>
      <c r="D19" s="39" t="s">
        <v>267</v>
      </c>
      <c r="E19" s="5" t="s">
        <v>28</v>
      </c>
      <c r="F19" s="34" t="s">
        <v>268</v>
      </c>
      <c r="G19" s="25" t="s">
        <v>244</v>
      </c>
    </row>
    <row r="20" spans="1:7" ht="13.5" x14ac:dyDescent="0.3">
      <c r="A20" s="3">
        <f t="shared" si="0"/>
        <v>17</v>
      </c>
      <c r="B20" s="27" t="s">
        <v>254</v>
      </c>
      <c r="C20" s="37"/>
      <c r="D20" s="35"/>
      <c r="E20" s="5" t="s">
        <v>30</v>
      </c>
      <c r="F20" s="5" t="s">
        <v>31</v>
      </c>
      <c r="G20" s="25" t="s">
        <v>244</v>
      </c>
    </row>
    <row r="21" spans="1:7" ht="13.5" x14ac:dyDescent="0.3">
      <c r="A21" s="3">
        <f t="shared" si="0"/>
        <v>18</v>
      </c>
      <c r="B21" s="27" t="s">
        <v>253</v>
      </c>
      <c r="C21" s="37"/>
      <c r="D21" s="35"/>
      <c r="E21" s="5" t="s">
        <v>32</v>
      </c>
      <c r="F21" s="5" t="s">
        <v>33</v>
      </c>
      <c r="G21" s="25" t="s">
        <v>243</v>
      </c>
    </row>
    <row r="22" spans="1:7" ht="13.5" x14ac:dyDescent="0.3">
      <c r="A22" s="3">
        <f t="shared" si="0"/>
        <v>19</v>
      </c>
      <c r="B22" s="27" t="s">
        <v>253</v>
      </c>
      <c r="C22" s="37"/>
      <c r="D22" s="35"/>
      <c r="E22" s="5" t="s">
        <v>34</v>
      </c>
      <c r="F22" s="5" t="s">
        <v>35</v>
      </c>
      <c r="G22" s="25" t="s">
        <v>243</v>
      </c>
    </row>
    <row r="23" spans="1:7" ht="13.5" x14ac:dyDescent="0.3">
      <c r="A23" s="3">
        <f t="shared" si="0"/>
        <v>20</v>
      </c>
      <c r="B23" s="27" t="s">
        <v>253</v>
      </c>
      <c r="C23" s="37"/>
      <c r="D23" s="35"/>
      <c r="E23" s="5" t="s">
        <v>36</v>
      </c>
      <c r="F23" s="5" t="s">
        <v>37</v>
      </c>
      <c r="G23" s="25" t="s">
        <v>243</v>
      </c>
    </row>
    <row r="24" spans="1:7" ht="13.5" x14ac:dyDescent="0.3">
      <c r="A24" s="3">
        <f t="shared" si="0"/>
        <v>21</v>
      </c>
      <c r="B24" s="27" t="s">
        <v>253</v>
      </c>
      <c r="C24" s="37"/>
      <c r="D24" s="46" t="s">
        <v>38</v>
      </c>
      <c r="E24" s="7" t="s">
        <v>39</v>
      </c>
      <c r="F24" s="7" t="s">
        <v>40</v>
      </c>
      <c r="G24" s="25" t="s">
        <v>243</v>
      </c>
    </row>
    <row r="25" spans="1:7" ht="13.5" x14ac:dyDescent="0.3">
      <c r="A25" s="3">
        <f t="shared" si="0"/>
        <v>22</v>
      </c>
      <c r="B25" s="27" t="s">
        <v>253</v>
      </c>
      <c r="C25" s="37"/>
      <c r="D25" s="35"/>
      <c r="E25" s="5" t="s">
        <v>41</v>
      </c>
      <c r="F25" s="5" t="s">
        <v>42</v>
      </c>
      <c r="G25" s="25" t="s">
        <v>243</v>
      </c>
    </row>
    <row r="26" spans="1:7" ht="13.5" x14ac:dyDescent="0.3">
      <c r="A26" s="3">
        <f t="shared" si="0"/>
        <v>23</v>
      </c>
      <c r="B26" s="27" t="s">
        <v>253</v>
      </c>
      <c r="C26" s="37"/>
      <c r="D26" s="35"/>
      <c r="E26" s="5" t="s">
        <v>43</v>
      </c>
      <c r="F26" s="5" t="s">
        <v>44</v>
      </c>
      <c r="G26" s="25" t="s">
        <v>243</v>
      </c>
    </row>
    <row r="27" spans="1:7" ht="54" x14ac:dyDescent="0.3">
      <c r="A27" s="3">
        <f t="shared" si="0"/>
        <v>24</v>
      </c>
      <c r="B27" s="27" t="s">
        <v>253</v>
      </c>
      <c r="C27" s="37"/>
      <c r="D27" s="35"/>
      <c r="E27" s="5" t="s">
        <v>45</v>
      </c>
      <c r="F27" s="5" t="s">
        <v>46</v>
      </c>
      <c r="G27" s="25" t="s">
        <v>243</v>
      </c>
    </row>
    <row r="28" spans="1:7" ht="27" x14ac:dyDescent="0.3">
      <c r="A28" s="3">
        <f t="shared" si="0"/>
        <v>25</v>
      </c>
      <c r="B28" s="27" t="s">
        <v>253</v>
      </c>
      <c r="C28" s="37"/>
      <c r="D28" s="35"/>
      <c r="E28" s="5" t="s">
        <v>47</v>
      </c>
      <c r="F28" s="5" t="s">
        <v>48</v>
      </c>
      <c r="G28" s="25" t="s">
        <v>243</v>
      </c>
    </row>
    <row r="29" spans="1:7" ht="13.5" x14ac:dyDescent="0.3">
      <c r="A29" s="3">
        <f t="shared" si="0"/>
        <v>26</v>
      </c>
      <c r="B29" s="27" t="s">
        <v>253</v>
      </c>
      <c r="C29" s="37"/>
      <c r="D29" s="35"/>
      <c r="E29" s="53" t="s">
        <v>49</v>
      </c>
      <c r="F29" s="8" t="s">
        <v>50</v>
      </c>
      <c r="G29" s="25" t="s">
        <v>243</v>
      </c>
    </row>
    <row r="30" spans="1:7" ht="13.5" x14ac:dyDescent="0.3">
      <c r="A30" s="3">
        <f t="shared" si="0"/>
        <v>27</v>
      </c>
      <c r="B30" s="27" t="s">
        <v>253</v>
      </c>
      <c r="C30" s="37"/>
      <c r="D30" s="35"/>
      <c r="E30" s="5" t="s">
        <v>51</v>
      </c>
      <c r="F30" s="9"/>
      <c r="G30" s="25" t="s">
        <v>243</v>
      </c>
    </row>
    <row r="31" spans="1:7" ht="13.5" x14ac:dyDescent="0.3">
      <c r="A31" s="3">
        <f t="shared" si="0"/>
        <v>28</v>
      </c>
      <c r="B31" s="27" t="s">
        <v>253</v>
      </c>
      <c r="C31" s="37"/>
      <c r="D31" s="35"/>
      <c r="E31" s="5" t="s">
        <v>52</v>
      </c>
      <c r="F31" s="9"/>
      <c r="G31" s="25" t="s">
        <v>243</v>
      </c>
    </row>
    <row r="32" spans="1:7" ht="13.5" x14ac:dyDescent="0.3">
      <c r="A32" s="3">
        <f t="shared" si="0"/>
        <v>29</v>
      </c>
      <c r="B32" s="27" t="s">
        <v>253</v>
      </c>
      <c r="C32" s="37"/>
      <c r="D32" s="35"/>
      <c r="E32" s="5" t="s">
        <v>53</v>
      </c>
      <c r="F32" s="10" t="s">
        <v>54</v>
      </c>
      <c r="G32" s="26" t="s">
        <v>242</v>
      </c>
    </row>
    <row r="33" spans="1:7" ht="27" x14ac:dyDescent="0.3">
      <c r="A33" s="3">
        <f t="shared" si="0"/>
        <v>30</v>
      </c>
      <c r="B33" s="27" t="s">
        <v>253</v>
      </c>
      <c r="C33" s="37"/>
      <c r="D33" s="35"/>
      <c r="E33" s="11" t="s">
        <v>55</v>
      </c>
      <c r="F33" s="12" t="s">
        <v>56</v>
      </c>
      <c r="G33" s="26" t="s">
        <v>242</v>
      </c>
    </row>
    <row r="34" spans="1:7" ht="13.5" x14ac:dyDescent="0.3">
      <c r="A34" s="3">
        <f t="shared" si="0"/>
        <v>31</v>
      </c>
      <c r="B34" s="27" t="s">
        <v>253</v>
      </c>
      <c r="C34" s="37"/>
      <c r="D34" s="35"/>
      <c r="E34" s="13" t="s">
        <v>57</v>
      </c>
      <c r="F34" s="5" t="s">
        <v>58</v>
      </c>
      <c r="G34" s="25" t="s">
        <v>243</v>
      </c>
    </row>
    <row r="35" spans="1:7" ht="40.5" x14ac:dyDescent="0.3">
      <c r="A35" s="3">
        <f t="shared" si="0"/>
        <v>32</v>
      </c>
      <c r="B35" s="27" t="s">
        <v>253</v>
      </c>
      <c r="C35" s="37"/>
      <c r="D35" s="35" t="s">
        <v>59</v>
      </c>
      <c r="E35" s="5" t="s">
        <v>60</v>
      </c>
      <c r="F35" s="5" t="s">
        <v>61</v>
      </c>
      <c r="G35" s="25" t="s">
        <v>243</v>
      </c>
    </row>
    <row r="36" spans="1:7" ht="40.5" x14ac:dyDescent="0.3">
      <c r="A36" s="3">
        <f t="shared" si="0"/>
        <v>33</v>
      </c>
      <c r="B36" s="27" t="s">
        <v>253</v>
      </c>
      <c r="C36" s="37"/>
      <c r="D36" s="35"/>
      <c r="E36" s="5" t="s">
        <v>62</v>
      </c>
      <c r="F36" s="5" t="s">
        <v>63</v>
      </c>
      <c r="G36" s="25" t="s">
        <v>243</v>
      </c>
    </row>
    <row r="37" spans="1:7" ht="40.5" x14ac:dyDescent="0.3">
      <c r="A37" s="3">
        <f t="shared" si="0"/>
        <v>34</v>
      </c>
      <c r="B37" s="27" t="s">
        <v>253</v>
      </c>
      <c r="C37" s="37"/>
      <c r="D37" s="35"/>
      <c r="E37" s="5" t="s">
        <v>64</v>
      </c>
      <c r="F37" s="5" t="s">
        <v>65</v>
      </c>
      <c r="G37" s="25" t="s">
        <v>243</v>
      </c>
    </row>
    <row r="38" spans="1:7" ht="13.5" x14ac:dyDescent="0.3">
      <c r="A38" s="3">
        <f t="shared" si="0"/>
        <v>35</v>
      </c>
      <c r="B38" s="27" t="s">
        <v>253</v>
      </c>
      <c r="C38" s="37"/>
      <c r="D38" s="35"/>
      <c r="E38" s="5" t="s">
        <v>66</v>
      </c>
      <c r="F38" s="5" t="s">
        <v>67</v>
      </c>
      <c r="G38" s="25" t="s">
        <v>243</v>
      </c>
    </row>
    <row r="39" spans="1:7" ht="13.5" x14ac:dyDescent="0.3">
      <c r="A39" s="3">
        <f t="shared" si="0"/>
        <v>36</v>
      </c>
      <c r="B39" s="27" t="s">
        <v>253</v>
      </c>
      <c r="C39" s="37"/>
      <c r="D39" s="35"/>
      <c r="E39" s="5" t="s">
        <v>68</v>
      </c>
      <c r="F39" s="5" t="s">
        <v>69</v>
      </c>
      <c r="G39" s="25" t="s">
        <v>243</v>
      </c>
    </row>
    <row r="40" spans="1:7" ht="13.5" x14ac:dyDescent="0.3">
      <c r="A40" s="3">
        <f t="shared" si="0"/>
        <v>37</v>
      </c>
      <c r="B40" s="27" t="s">
        <v>253</v>
      </c>
      <c r="C40" s="37"/>
      <c r="D40" s="35"/>
      <c r="E40" s="5" t="s">
        <v>36</v>
      </c>
      <c r="F40" s="5" t="s">
        <v>70</v>
      </c>
      <c r="G40" s="25" t="s">
        <v>243</v>
      </c>
    </row>
    <row r="41" spans="1:7" ht="13.5" x14ac:dyDescent="0.3">
      <c r="A41" s="3">
        <f t="shared" si="0"/>
        <v>38</v>
      </c>
      <c r="B41" s="27" t="s">
        <v>253</v>
      </c>
      <c r="C41" s="37"/>
      <c r="D41" s="35"/>
      <c r="E41" s="5" t="s">
        <v>71</v>
      </c>
      <c r="F41" s="5" t="s">
        <v>72</v>
      </c>
      <c r="G41" s="25" t="s">
        <v>243</v>
      </c>
    </row>
    <row r="42" spans="1:7" ht="13.5" x14ac:dyDescent="0.3">
      <c r="A42" s="3">
        <f t="shared" si="0"/>
        <v>39</v>
      </c>
      <c r="B42" s="27" t="s">
        <v>254</v>
      </c>
      <c r="C42" s="39" t="s">
        <v>264</v>
      </c>
      <c r="D42" s="39" t="s">
        <v>272</v>
      </c>
      <c r="E42" s="21" t="s">
        <v>165</v>
      </c>
      <c r="F42" s="21" t="s">
        <v>166</v>
      </c>
      <c r="G42" s="25" t="s">
        <v>243</v>
      </c>
    </row>
    <row r="43" spans="1:7" ht="27" x14ac:dyDescent="0.3">
      <c r="A43" s="3">
        <f t="shared" si="0"/>
        <v>40</v>
      </c>
      <c r="B43" s="27" t="s">
        <v>254</v>
      </c>
      <c r="C43" s="35"/>
      <c r="D43" s="35"/>
      <c r="E43" s="21" t="s">
        <v>167</v>
      </c>
      <c r="F43" s="21" t="s">
        <v>168</v>
      </c>
      <c r="G43" s="25" t="s">
        <v>243</v>
      </c>
    </row>
    <row r="44" spans="1:7" ht="13.5" x14ac:dyDescent="0.3">
      <c r="A44" s="3">
        <f t="shared" si="0"/>
        <v>41</v>
      </c>
      <c r="B44" s="27" t="s">
        <v>253</v>
      </c>
      <c r="C44" s="35"/>
      <c r="D44" s="35"/>
      <c r="E44" s="21" t="s">
        <v>169</v>
      </c>
      <c r="F44" s="21" t="s">
        <v>170</v>
      </c>
      <c r="G44" s="25" t="s">
        <v>243</v>
      </c>
    </row>
    <row r="45" spans="1:7" ht="54" x14ac:dyDescent="0.3">
      <c r="A45" s="3">
        <f t="shared" si="0"/>
        <v>42</v>
      </c>
      <c r="B45" s="27" t="s">
        <v>253</v>
      </c>
      <c r="C45" s="35"/>
      <c r="D45" s="35" t="s">
        <v>185</v>
      </c>
      <c r="E45" s="21" t="s">
        <v>172</v>
      </c>
      <c r="F45" s="21" t="s">
        <v>186</v>
      </c>
      <c r="G45" s="25" t="s">
        <v>243</v>
      </c>
    </row>
    <row r="46" spans="1:7" ht="13.5" x14ac:dyDescent="0.3">
      <c r="A46" s="3">
        <f t="shared" si="0"/>
        <v>43</v>
      </c>
      <c r="B46" s="27" t="s">
        <v>253</v>
      </c>
      <c r="C46" s="35"/>
      <c r="D46" s="35"/>
      <c r="E46" s="5" t="s">
        <v>174</v>
      </c>
      <c r="F46" s="14"/>
      <c r="G46" s="25" t="s">
        <v>243</v>
      </c>
    </row>
    <row r="47" spans="1:7" ht="40.5" x14ac:dyDescent="0.3">
      <c r="A47" s="3">
        <f t="shared" si="0"/>
        <v>44</v>
      </c>
      <c r="B47" s="27" t="s">
        <v>253</v>
      </c>
      <c r="C47" s="35"/>
      <c r="D47" s="35" t="s">
        <v>175</v>
      </c>
      <c r="E47" s="21" t="s">
        <v>176</v>
      </c>
      <c r="F47" s="21" t="s">
        <v>187</v>
      </c>
      <c r="G47" s="25" t="s">
        <v>243</v>
      </c>
    </row>
    <row r="48" spans="1:7" ht="13.5" x14ac:dyDescent="0.3">
      <c r="A48" s="3">
        <f t="shared" si="0"/>
        <v>45</v>
      </c>
      <c r="B48" s="27" t="s">
        <v>253</v>
      </c>
      <c r="C48" s="35"/>
      <c r="D48" s="35"/>
      <c r="E48" s="5" t="s">
        <v>178</v>
      </c>
      <c r="F48" s="5" t="s">
        <v>179</v>
      </c>
      <c r="G48" s="25" t="s">
        <v>243</v>
      </c>
    </row>
    <row r="49" spans="1:7" ht="13.5" x14ac:dyDescent="0.3">
      <c r="A49" s="3">
        <f t="shared" si="0"/>
        <v>46</v>
      </c>
      <c r="B49" s="27" t="s">
        <v>253</v>
      </c>
      <c r="C49" s="35"/>
      <c r="D49" s="35"/>
      <c r="E49" s="5" t="s">
        <v>180</v>
      </c>
      <c r="F49" s="14"/>
      <c r="G49" s="25" t="s">
        <v>243</v>
      </c>
    </row>
    <row r="50" spans="1:7" ht="13.5" x14ac:dyDescent="0.3">
      <c r="A50" s="3">
        <f t="shared" si="0"/>
        <v>47</v>
      </c>
      <c r="B50" s="27" t="s">
        <v>253</v>
      </c>
      <c r="C50" s="35"/>
      <c r="D50" s="35" t="s">
        <v>181</v>
      </c>
      <c r="E50" s="5" t="s">
        <v>182</v>
      </c>
      <c r="F50" s="5" t="s">
        <v>183</v>
      </c>
      <c r="G50" s="25" t="s">
        <v>243</v>
      </c>
    </row>
    <row r="51" spans="1:7" ht="13.5" x14ac:dyDescent="0.3">
      <c r="A51" s="3">
        <f t="shared" si="0"/>
        <v>48</v>
      </c>
      <c r="B51" s="27" t="s">
        <v>253</v>
      </c>
      <c r="C51" s="35"/>
      <c r="D51" s="35"/>
      <c r="E51" s="5" t="s">
        <v>184</v>
      </c>
      <c r="F51" s="14"/>
      <c r="G51" s="25" t="s">
        <v>243</v>
      </c>
    </row>
    <row r="52" spans="1:7" ht="27" x14ac:dyDescent="0.3">
      <c r="A52" s="3">
        <f t="shared" si="0"/>
        <v>49</v>
      </c>
      <c r="B52" s="27" t="s">
        <v>253</v>
      </c>
      <c r="C52" s="39" t="s">
        <v>273</v>
      </c>
      <c r="D52" s="35" t="s">
        <v>164</v>
      </c>
      <c r="E52" s="5" t="s">
        <v>189</v>
      </c>
      <c r="F52" s="5" t="s">
        <v>190</v>
      </c>
      <c r="G52" s="25" t="s">
        <v>243</v>
      </c>
    </row>
    <row r="53" spans="1:7" ht="27" x14ac:dyDescent="0.3">
      <c r="A53" s="3">
        <f t="shared" si="0"/>
        <v>50</v>
      </c>
      <c r="B53" s="27" t="s">
        <v>253</v>
      </c>
      <c r="C53" s="35"/>
      <c r="D53" s="35"/>
      <c r="E53" s="5" t="s">
        <v>191</v>
      </c>
      <c r="F53" s="5" t="s">
        <v>192</v>
      </c>
      <c r="G53" s="25" t="s">
        <v>243</v>
      </c>
    </row>
    <row r="54" spans="1:7" ht="54" x14ac:dyDescent="0.3">
      <c r="A54" s="3">
        <f t="shared" si="0"/>
        <v>51</v>
      </c>
      <c r="B54" s="27" t="s">
        <v>253</v>
      </c>
      <c r="C54" s="35"/>
      <c r="D54" s="35"/>
      <c r="E54" s="5" t="s">
        <v>193</v>
      </c>
      <c r="F54" s="5" t="s">
        <v>194</v>
      </c>
      <c r="G54" s="25" t="s">
        <v>243</v>
      </c>
    </row>
    <row r="55" spans="1:7" ht="27" x14ac:dyDescent="0.3">
      <c r="A55" s="3">
        <f t="shared" si="0"/>
        <v>52</v>
      </c>
      <c r="B55" s="27" t="s">
        <v>253</v>
      </c>
      <c r="C55" s="35"/>
      <c r="D55" s="35"/>
      <c r="E55" s="5" t="s">
        <v>195</v>
      </c>
      <c r="F55" s="5" t="s">
        <v>196</v>
      </c>
      <c r="G55" s="25" t="s">
        <v>243</v>
      </c>
    </row>
    <row r="56" spans="1:7" ht="40.5" x14ac:dyDescent="0.3">
      <c r="A56" s="3">
        <f t="shared" si="0"/>
        <v>53</v>
      </c>
      <c r="B56" s="27" t="s">
        <v>253</v>
      </c>
      <c r="C56" s="35"/>
      <c r="D56" s="35"/>
      <c r="E56" s="5" t="s">
        <v>197</v>
      </c>
      <c r="F56" s="5" t="s">
        <v>198</v>
      </c>
      <c r="G56" s="25" t="s">
        <v>243</v>
      </c>
    </row>
    <row r="57" spans="1:7" ht="13.5" x14ac:dyDescent="0.3">
      <c r="A57" s="3">
        <f t="shared" si="0"/>
        <v>54</v>
      </c>
      <c r="B57" s="27" t="s">
        <v>253</v>
      </c>
      <c r="C57" s="35"/>
      <c r="D57" s="35"/>
      <c r="E57" s="5" t="s">
        <v>199</v>
      </c>
      <c r="F57" s="5" t="s">
        <v>200</v>
      </c>
      <c r="G57" s="25" t="s">
        <v>243</v>
      </c>
    </row>
    <row r="58" spans="1:7" ht="13.5" x14ac:dyDescent="0.3">
      <c r="A58" s="3">
        <f t="shared" si="0"/>
        <v>55</v>
      </c>
      <c r="B58" s="27" t="s">
        <v>253</v>
      </c>
      <c r="C58" s="35"/>
      <c r="D58" s="35"/>
      <c r="E58" s="5" t="s">
        <v>201</v>
      </c>
      <c r="F58" s="5" t="s">
        <v>202</v>
      </c>
      <c r="G58" s="25" t="s">
        <v>243</v>
      </c>
    </row>
    <row r="59" spans="1:7" ht="27" x14ac:dyDescent="0.3">
      <c r="A59" s="3">
        <f t="shared" si="0"/>
        <v>56</v>
      </c>
      <c r="B59" s="27" t="s">
        <v>258</v>
      </c>
      <c r="C59" s="35" t="s">
        <v>92</v>
      </c>
      <c r="D59" s="43" t="s">
        <v>93</v>
      </c>
      <c r="E59" s="16" t="s">
        <v>94</v>
      </c>
      <c r="F59" s="16" t="s">
        <v>95</v>
      </c>
      <c r="G59" s="24" t="s">
        <v>246</v>
      </c>
    </row>
    <row r="60" spans="1:7" ht="54" x14ac:dyDescent="0.3">
      <c r="A60" s="3">
        <f t="shared" si="0"/>
        <v>57</v>
      </c>
      <c r="B60" s="27" t="s">
        <v>258</v>
      </c>
      <c r="C60" s="35"/>
      <c r="D60" s="43"/>
      <c r="E60" s="16" t="s">
        <v>96</v>
      </c>
      <c r="F60" s="16" t="s">
        <v>97</v>
      </c>
      <c r="G60" s="25" t="s">
        <v>243</v>
      </c>
    </row>
    <row r="61" spans="1:7" ht="13.5" x14ac:dyDescent="0.3">
      <c r="A61" s="3">
        <f t="shared" si="0"/>
        <v>58</v>
      </c>
      <c r="B61" s="27" t="s">
        <v>257</v>
      </c>
      <c r="C61" s="35"/>
      <c r="D61" s="43"/>
      <c r="E61" s="16" t="s">
        <v>98</v>
      </c>
      <c r="F61" s="16" t="s">
        <v>99</v>
      </c>
      <c r="G61" s="25" t="s">
        <v>243</v>
      </c>
    </row>
    <row r="62" spans="1:7" ht="13.5" x14ac:dyDescent="0.3">
      <c r="A62" s="3">
        <f t="shared" si="0"/>
        <v>59</v>
      </c>
      <c r="B62" s="27" t="s">
        <v>257</v>
      </c>
      <c r="C62" s="35"/>
      <c r="D62" s="43"/>
      <c r="E62" s="16" t="s">
        <v>100</v>
      </c>
      <c r="F62" s="16" t="s">
        <v>101</v>
      </c>
      <c r="G62" s="25" t="s">
        <v>243</v>
      </c>
    </row>
    <row r="63" spans="1:7" ht="13.5" x14ac:dyDescent="0.3">
      <c r="A63" s="3">
        <f t="shared" si="0"/>
        <v>60</v>
      </c>
      <c r="B63" s="27" t="s">
        <v>257</v>
      </c>
      <c r="C63" s="35"/>
      <c r="D63" s="43"/>
      <c r="E63" s="16" t="s">
        <v>102</v>
      </c>
      <c r="F63" s="16" t="s">
        <v>103</v>
      </c>
      <c r="G63" s="25" t="s">
        <v>243</v>
      </c>
    </row>
    <row r="64" spans="1:7" ht="27" x14ac:dyDescent="0.3">
      <c r="A64" s="3">
        <f t="shared" si="0"/>
        <v>61</v>
      </c>
      <c r="B64" s="27" t="s">
        <v>257</v>
      </c>
      <c r="C64" s="35"/>
      <c r="D64" s="43"/>
      <c r="E64" s="16" t="s">
        <v>104</v>
      </c>
      <c r="F64" s="16" t="s">
        <v>105</v>
      </c>
      <c r="G64" s="25" t="s">
        <v>243</v>
      </c>
    </row>
    <row r="65" spans="1:7" ht="67.5" x14ac:dyDescent="0.3">
      <c r="A65" s="3">
        <f t="shared" si="0"/>
        <v>62</v>
      </c>
      <c r="B65" s="27" t="s">
        <v>257</v>
      </c>
      <c r="C65" s="35"/>
      <c r="D65" s="3" t="s">
        <v>106</v>
      </c>
      <c r="E65" s="5" t="s">
        <v>107</v>
      </c>
      <c r="F65" s="5" t="s">
        <v>108</v>
      </c>
      <c r="G65" s="25" t="s">
        <v>243</v>
      </c>
    </row>
    <row r="66" spans="1:7" ht="27" x14ac:dyDescent="0.3">
      <c r="A66" s="3">
        <f t="shared" si="0"/>
        <v>63</v>
      </c>
      <c r="B66" s="27" t="s">
        <v>257</v>
      </c>
      <c r="C66" s="35"/>
      <c r="D66" s="35" t="s">
        <v>109</v>
      </c>
      <c r="E66" s="5" t="s">
        <v>110</v>
      </c>
      <c r="F66" s="5" t="s">
        <v>111</v>
      </c>
      <c r="G66" s="25" t="s">
        <v>243</v>
      </c>
    </row>
    <row r="67" spans="1:7" ht="13.5" x14ac:dyDescent="0.3">
      <c r="A67" s="3">
        <f t="shared" si="0"/>
        <v>64</v>
      </c>
      <c r="B67" s="27" t="s">
        <v>257</v>
      </c>
      <c r="C67" s="35"/>
      <c r="D67" s="35"/>
      <c r="E67" s="5" t="s">
        <v>112</v>
      </c>
      <c r="F67" s="5" t="s">
        <v>113</v>
      </c>
      <c r="G67" s="25" t="s">
        <v>243</v>
      </c>
    </row>
    <row r="68" spans="1:7" ht="13.5" x14ac:dyDescent="0.3">
      <c r="A68" s="3">
        <f t="shared" si="0"/>
        <v>65</v>
      </c>
      <c r="B68" s="27" t="s">
        <v>257</v>
      </c>
      <c r="C68" s="35"/>
      <c r="D68" s="35"/>
      <c r="E68" s="5" t="s">
        <v>114</v>
      </c>
      <c r="F68" s="5" t="s">
        <v>115</v>
      </c>
      <c r="G68" s="25" t="s">
        <v>243</v>
      </c>
    </row>
    <row r="69" spans="1:7" ht="13.5" x14ac:dyDescent="0.3">
      <c r="A69" s="3">
        <f t="shared" ref="A69:A110" si="1">ROW()-3</f>
        <v>66</v>
      </c>
      <c r="B69" s="27" t="s">
        <v>257</v>
      </c>
      <c r="C69" s="35"/>
      <c r="D69" s="35"/>
      <c r="E69" s="5" t="s">
        <v>116</v>
      </c>
      <c r="F69" s="5" t="s">
        <v>117</v>
      </c>
      <c r="G69" s="25" t="s">
        <v>243</v>
      </c>
    </row>
    <row r="70" spans="1:7" ht="27" x14ac:dyDescent="0.3">
      <c r="A70" s="3">
        <f t="shared" si="1"/>
        <v>67</v>
      </c>
      <c r="B70" s="27" t="s">
        <v>257</v>
      </c>
      <c r="C70" s="35"/>
      <c r="D70" s="35"/>
      <c r="E70" s="5" t="s">
        <v>118</v>
      </c>
      <c r="F70" s="5" t="s">
        <v>119</v>
      </c>
      <c r="G70" s="25" t="s">
        <v>243</v>
      </c>
    </row>
    <row r="71" spans="1:7" ht="13.5" x14ac:dyDescent="0.3">
      <c r="A71" s="3">
        <f t="shared" si="1"/>
        <v>68</v>
      </c>
      <c r="B71" s="27" t="s">
        <v>257</v>
      </c>
      <c r="C71" s="35"/>
      <c r="D71" s="35"/>
      <c r="E71" s="17" t="s">
        <v>120</v>
      </c>
      <c r="F71" s="5" t="s">
        <v>121</v>
      </c>
      <c r="G71" s="25" t="s">
        <v>243</v>
      </c>
    </row>
    <row r="72" spans="1:7" ht="26" x14ac:dyDescent="0.3">
      <c r="A72" s="3">
        <f t="shared" si="1"/>
        <v>69</v>
      </c>
      <c r="B72" s="27" t="s">
        <v>257</v>
      </c>
      <c r="C72" s="35"/>
      <c r="D72" s="35"/>
      <c r="E72" s="9" t="s">
        <v>122</v>
      </c>
      <c r="F72" s="18" t="s">
        <v>123</v>
      </c>
      <c r="G72" s="25" t="s">
        <v>243</v>
      </c>
    </row>
    <row r="73" spans="1:7" ht="27" x14ac:dyDescent="0.3">
      <c r="A73" s="3">
        <f t="shared" si="1"/>
        <v>70</v>
      </c>
      <c r="B73" s="27" t="s">
        <v>257</v>
      </c>
      <c r="C73" s="35"/>
      <c r="D73" s="35"/>
      <c r="E73" s="5" t="s">
        <v>124</v>
      </c>
      <c r="F73" s="5" t="s">
        <v>125</v>
      </c>
      <c r="G73" s="25" t="s">
        <v>243</v>
      </c>
    </row>
    <row r="74" spans="1:7" ht="13.5" x14ac:dyDescent="0.3">
      <c r="A74" s="3">
        <f t="shared" si="1"/>
        <v>71</v>
      </c>
      <c r="B74" s="27" t="s">
        <v>257</v>
      </c>
      <c r="C74" s="35"/>
      <c r="D74" s="35"/>
      <c r="E74" s="19" t="s">
        <v>126</v>
      </c>
      <c r="F74" s="20" t="s">
        <v>127</v>
      </c>
      <c r="G74" s="25" t="s">
        <v>243</v>
      </c>
    </row>
    <row r="75" spans="1:7" ht="27" x14ac:dyDescent="0.3">
      <c r="A75" s="3">
        <f t="shared" si="1"/>
        <v>72</v>
      </c>
      <c r="B75" s="27" t="s">
        <v>257</v>
      </c>
      <c r="C75" s="35"/>
      <c r="D75" s="35"/>
      <c r="E75" s="19" t="s">
        <v>128</v>
      </c>
      <c r="F75" s="20" t="s">
        <v>129</v>
      </c>
      <c r="G75" s="25" t="s">
        <v>243</v>
      </c>
    </row>
    <row r="76" spans="1:7" ht="13.5" x14ac:dyDescent="0.3">
      <c r="A76" s="3">
        <f t="shared" si="1"/>
        <v>73</v>
      </c>
      <c r="B76" s="27" t="s">
        <v>257</v>
      </c>
      <c r="C76" s="35"/>
      <c r="D76" s="35"/>
      <c r="E76" s="19" t="s">
        <v>130</v>
      </c>
      <c r="F76" s="20" t="s">
        <v>131</v>
      </c>
      <c r="G76" s="25" t="s">
        <v>243</v>
      </c>
    </row>
    <row r="77" spans="1:7" ht="13.5" x14ac:dyDescent="0.3">
      <c r="A77" s="3">
        <f t="shared" si="1"/>
        <v>74</v>
      </c>
      <c r="B77" s="27" t="s">
        <v>257</v>
      </c>
      <c r="C77" s="35"/>
      <c r="D77" s="35"/>
      <c r="E77" s="19" t="s">
        <v>109</v>
      </c>
      <c r="F77" s="20"/>
      <c r="G77" s="25" t="s">
        <v>243</v>
      </c>
    </row>
    <row r="78" spans="1:7" ht="40.5" x14ac:dyDescent="0.3">
      <c r="A78" s="3">
        <f t="shared" si="1"/>
        <v>75</v>
      </c>
      <c r="B78" s="27" t="s">
        <v>257</v>
      </c>
      <c r="C78" s="35"/>
      <c r="D78" s="30" t="s">
        <v>274</v>
      </c>
      <c r="E78" s="19" t="s">
        <v>133</v>
      </c>
      <c r="F78" s="20" t="s">
        <v>134</v>
      </c>
      <c r="G78" s="25" t="s">
        <v>243</v>
      </c>
    </row>
    <row r="79" spans="1:7" ht="27" x14ac:dyDescent="0.3">
      <c r="A79" s="3">
        <f t="shared" si="1"/>
        <v>76</v>
      </c>
      <c r="B79" s="27" t="s">
        <v>257</v>
      </c>
      <c r="C79" s="35"/>
      <c r="D79" s="44" t="s">
        <v>135</v>
      </c>
      <c r="E79" s="5" t="s">
        <v>136</v>
      </c>
      <c r="F79" s="5" t="s">
        <v>137</v>
      </c>
      <c r="G79" s="25" t="s">
        <v>243</v>
      </c>
    </row>
    <row r="80" spans="1:7" ht="27" x14ac:dyDescent="0.3">
      <c r="A80" s="3">
        <f t="shared" si="1"/>
        <v>77</v>
      </c>
      <c r="B80" s="27" t="s">
        <v>257</v>
      </c>
      <c r="C80" s="35"/>
      <c r="D80" s="44"/>
      <c r="E80" s="5" t="s">
        <v>138</v>
      </c>
      <c r="F80" s="5" t="s">
        <v>139</v>
      </c>
      <c r="G80" s="25" t="s">
        <v>243</v>
      </c>
    </row>
    <row r="81" spans="1:7" ht="27" x14ac:dyDescent="0.3">
      <c r="A81" s="3">
        <f t="shared" si="1"/>
        <v>78</v>
      </c>
      <c r="B81" s="27" t="s">
        <v>257</v>
      </c>
      <c r="C81" s="35"/>
      <c r="D81" s="44"/>
      <c r="E81" s="5" t="s">
        <v>140</v>
      </c>
      <c r="F81" s="5" t="s">
        <v>141</v>
      </c>
      <c r="G81" s="25" t="s">
        <v>243</v>
      </c>
    </row>
    <row r="82" spans="1:7" ht="40.5" x14ac:dyDescent="0.3">
      <c r="A82" s="3">
        <f t="shared" si="1"/>
        <v>79</v>
      </c>
      <c r="B82" s="27" t="s">
        <v>257</v>
      </c>
      <c r="C82" s="35"/>
      <c r="D82" s="44"/>
      <c r="E82" s="5" t="s">
        <v>142</v>
      </c>
      <c r="F82" s="5" t="s">
        <v>143</v>
      </c>
      <c r="G82" s="25" t="s">
        <v>243</v>
      </c>
    </row>
    <row r="83" spans="1:7" ht="40.5" x14ac:dyDescent="0.3">
      <c r="A83" s="3">
        <f t="shared" si="1"/>
        <v>80</v>
      </c>
      <c r="B83" s="27" t="s">
        <v>257</v>
      </c>
      <c r="C83" s="35"/>
      <c r="D83" s="44"/>
      <c r="E83" s="5" t="s">
        <v>144</v>
      </c>
      <c r="F83" s="5" t="s">
        <v>145</v>
      </c>
      <c r="G83" s="25" t="s">
        <v>243</v>
      </c>
    </row>
    <row r="84" spans="1:7" ht="54" x14ac:dyDescent="0.3">
      <c r="A84" s="3">
        <f t="shared" si="1"/>
        <v>81</v>
      </c>
      <c r="B84" s="27" t="s">
        <v>257</v>
      </c>
      <c r="C84" s="35"/>
      <c r="D84" s="44"/>
      <c r="E84" s="12" t="s">
        <v>146</v>
      </c>
      <c r="F84" s="12" t="s">
        <v>147</v>
      </c>
      <c r="G84" s="25" t="s">
        <v>243</v>
      </c>
    </row>
    <row r="85" spans="1:7" ht="67.5" x14ac:dyDescent="0.3">
      <c r="A85" s="3">
        <f t="shared" si="1"/>
        <v>82</v>
      </c>
      <c r="B85" s="27" t="s">
        <v>257</v>
      </c>
      <c r="C85" s="35"/>
      <c r="D85" s="44"/>
      <c r="E85" s="5" t="s">
        <v>148</v>
      </c>
      <c r="F85" s="5" t="s">
        <v>149</v>
      </c>
      <c r="G85" s="25" t="s">
        <v>243</v>
      </c>
    </row>
    <row r="86" spans="1:7" ht="40.5" x14ac:dyDescent="0.3">
      <c r="A86" s="3">
        <f t="shared" si="1"/>
        <v>83</v>
      </c>
      <c r="B86" s="27" t="s">
        <v>257</v>
      </c>
      <c r="C86" s="35"/>
      <c r="D86" s="35" t="s">
        <v>150</v>
      </c>
      <c r="E86" s="5" t="s">
        <v>151</v>
      </c>
      <c r="F86" s="5" t="s">
        <v>152</v>
      </c>
      <c r="G86" s="25" t="s">
        <v>243</v>
      </c>
    </row>
    <row r="87" spans="1:7" ht="40.5" x14ac:dyDescent="0.3">
      <c r="A87" s="3">
        <f t="shared" si="1"/>
        <v>84</v>
      </c>
      <c r="B87" s="27" t="s">
        <v>257</v>
      </c>
      <c r="C87" s="35"/>
      <c r="D87" s="35"/>
      <c r="E87" s="5" t="s">
        <v>153</v>
      </c>
      <c r="F87" s="5" t="s">
        <v>154</v>
      </c>
      <c r="G87" s="25" t="s">
        <v>243</v>
      </c>
    </row>
    <row r="88" spans="1:7" ht="27" x14ac:dyDescent="0.3">
      <c r="A88" s="3">
        <f t="shared" si="1"/>
        <v>85</v>
      </c>
      <c r="B88" s="27" t="s">
        <v>257</v>
      </c>
      <c r="C88" s="35"/>
      <c r="D88" s="35"/>
      <c r="E88" s="5" t="s">
        <v>155</v>
      </c>
      <c r="F88" s="5" t="s">
        <v>156</v>
      </c>
      <c r="G88" s="25" t="s">
        <v>243</v>
      </c>
    </row>
    <row r="89" spans="1:7" ht="40.5" x14ac:dyDescent="0.3">
      <c r="A89" s="3">
        <f t="shared" si="1"/>
        <v>86</v>
      </c>
      <c r="B89" s="27" t="s">
        <v>257</v>
      </c>
      <c r="C89" s="35"/>
      <c r="D89" s="35"/>
      <c r="E89" s="5" t="s">
        <v>157</v>
      </c>
      <c r="F89" s="5" t="s">
        <v>158</v>
      </c>
      <c r="G89" s="25" t="s">
        <v>243</v>
      </c>
    </row>
    <row r="90" spans="1:7" ht="27" x14ac:dyDescent="0.3">
      <c r="A90" s="3">
        <f t="shared" si="1"/>
        <v>87</v>
      </c>
      <c r="B90" s="27" t="s">
        <v>257</v>
      </c>
      <c r="C90" s="35"/>
      <c r="D90" s="3" t="s">
        <v>159</v>
      </c>
      <c r="E90" s="5" t="s">
        <v>160</v>
      </c>
      <c r="F90" s="5" t="s">
        <v>161</v>
      </c>
      <c r="G90" s="25" t="s">
        <v>243</v>
      </c>
    </row>
    <row r="91" spans="1:7" ht="13.5" x14ac:dyDescent="0.3">
      <c r="A91" s="3">
        <f t="shared" si="1"/>
        <v>88</v>
      </c>
      <c r="B91" s="27" t="s">
        <v>257</v>
      </c>
      <c r="C91" s="35"/>
      <c r="D91" s="3" t="s">
        <v>162</v>
      </c>
      <c r="E91" s="5" t="s">
        <v>59</v>
      </c>
      <c r="F91" s="5" t="s">
        <v>163</v>
      </c>
      <c r="G91" s="25" t="s">
        <v>243</v>
      </c>
    </row>
    <row r="92" spans="1:7" ht="13.5" x14ac:dyDescent="0.3">
      <c r="A92" s="3">
        <f t="shared" si="1"/>
        <v>89</v>
      </c>
      <c r="B92" s="27" t="s">
        <v>257</v>
      </c>
      <c r="C92" s="39" t="s">
        <v>265</v>
      </c>
      <c r="D92" s="45" t="s">
        <v>164</v>
      </c>
      <c r="E92" s="21" t="s">
        <v>165</v>
      </c>
      <c r="F92" s="21" t="s">
        <v>166</v>
      </c>
      <c r="G92" s="25" t="s">
        <v>243</v>
      </c>
    </row>
    <row r="93" spans="1:7" ht="27" x14ac:dyDescent="0.3">
      <c r="A93" s="3">
        <f t="shared" si="1"/>
        <v>90</v>
      </c>
      <c r="B93" s="27" t="s">
        <v>257</v>
      </c>
      <c r="C93" s="35"/>
      <c r="D93" s="45"/>
      <c r="E93" s="21" t="s">
        <v>167</v>
      </c>
      <c r="F93" s="21" t="s">
        <v>168</v>
      </c>
      <c r="G93" s="25" t="s">
        <v>243</v>
      </c>
    </row>
    <row r="94" spans="1:7" ht="13.5" x14ac:dyDescent="0.3">
      <c r="A94" s="3">
        <f t="shared" si="1"/>
        <v>91</v>
      </c>
      <c r="B94" s="27" t="s">
        <v>257</v>
      </c>
      <c r="C94" s="35"/>
      <c r="D94" s="45"/>
      <c r="E94" s="21" t="s">
        <v>169</v>
      </c>
      <c r="F94" s="21" t="s">
        <v>170</v>
      </c>
      <c r="G94" s="25" t="s">
        <v>243</v>
      </c>
    </row>
    <row r="95" spans="1:7" ht="40.5" x14ac:dyDescent="0.3">
      <c r="A95" s="3">
        <f t="shared" si="1"/>
        <v>92</v>
      </c>
      <c r="B95" s="27" t="s">
        <v>257</v>
      </c>
      <c r="C95" s="35"/>
      <c r="D95" s="35" t="s">
        <v>171</v>
      </c>
      <c r="E95" s="21" t="s">
        <v>172</v>
      </c>
      <c r="F95" s="21" t="s">
        <v>173</v>
      </c>
      <c r="G95" s="25" t="s">
        <v>243</v>
      </c>
    </row>
    <row r="96" spans="1:7" ht="13.5" x14ac:dyDescent="0.3">
      <c r="A96" s="3">
        <f t="shared" si="1"/>
        <v>93</v>
      </c>
      <c r="B96" s="27" t="s">
        <v>257</v>
      </c>
      <c r="C96" s="35"/>
      <c r="D96" s="35"/>
      <c r="E96" s="5" t="s">
        <v>174</v>
      </c>
      <c r="F96" s="14"/>
      <c r="G96" s="25" t="s">
        <v>243</v>
      </c>
    </row>
    <row r="97" spans="1:7" ht="27" x14ac:dyDescent="0.3">
      <c r="A97" s="3">
        <f t="shared" si="1"/>
        <v>94</v>
      </c>
      <c r="B97" s="27" t="s">
        <v>257</v>
      </c>
      <c r="C97" s="35"/>
      <c r="D97" s="35" t="s">
        <v>175</v>
      </c>
      <c r="E97" s="21" t="s">
        <v>176</v>
      </c>
      <c r="F97" s="21" t="s">
        <v>177</v>
      </c>
      <c r="G97" s="25" t="s">
        <v>243</v>
      </c>
    </row>
    <row r="98" spans="1:7" ht="13.5" x14ac:dyDescent="0.3">
      <c r="A98" s="3">
        <f t="shared" si="1"/>
        <v>95</v>
      </c>
      <c r="B98" s="27" t="s">
        <v>257</v>
      </c>
      <c r="C98" s="35"/>
      <c r="D98" s="35"/>
      <c r="E98" s="21" t="s">
        <v>178</v>
      </c>
      <c r="F98" s="21" t="s">
        <v>179</v>
      </c>
      <c r="G98" s="25" t="s">
        <v>243</v>
      </c>
    </row>
    <row r="99" spans="1:7" ht="13.5" x14ac:dyDescent="0.3">
      <c r="A99" s="3">
        <f t="shared" si="1"/>
        <v>96</v>
      </c>
      <c r="B99" s="27" t="s">
        <v>257</v>
      </c>
      <c r="C99" s="35"/>
      <c r="D99" s="35"/>
      <c r="E99" s="5" t="s">
        <v>180</v>
      </c>
      <c r="F99" s="14"/>
      <c r="G99" s="25" t="s">
        <v>243</v>
      </c>
    </row>
    <row r="100" spans="1:7" ht="13.5" x14ac:dyDescent="0.3">
      <c r="A100" s="3">
        <f t="shared" si="1"/>
        <v>97</v>
      </c>
      <c r="B100" s="27" t="s">
        <v>257</v>
      </c>
      <c r="C100" s="35"/>
      <c r="D100" s="35" t="s">
        <v>181</v>
      </c>
      <c r="E100" s="21" t="s">
        <v>182</v>
      </c>
      <c r="F100" s="21" t="s">
        <v>183</v>
      </c>
      <c r="G100" s="25" t="s">
        <v>243</v>
      </c>
    </row>
    <row r="101" spans="1:7" ht="13.5" x14ac:dyDescent="0.3">
      <c r="A101" s="3">
        <f t="shared" si="1"/>
        <v>98</v>
      </c>
      <c r="B101" s="27" t="s">
        <v>257</v>
      </c>
      <c r="C101" s="35"/>
      <c r="D101" s="35"/>
      <c r="E101" s="5" t="s">
        <v>184</v>
      </c>
      <c r="F101" s="14"/>
      <c r="G101" s="25" t="s">
        <v>243</v>
      </c>
    </row>
    <row r="102" spans="1:7" ht="13.5" x14ac:dyDescent="0.3">
      <c r="A102" s="3">
        <f t="shared" si="1"/>
        <v>99</v>
      </c>
      <c r="B102" s="27" t="s">
        <v>258</v>
      </c>
      <c r="C102" s="35" t="s">
        <v>203</v>
      </c>
      <c r="D102" s="3" t="s">
        <v>204</v>
      </c>
      <c r="E102" s="5" t="s">
        <v>204</v>
      </c>
      <c r="F102" s="5" t="s">
        <v>205</v>
      </c>
      <c r="G102" s="25" t="s">
        <v>243</v>
      </c>
    </row>
    <row r="103" spans="1:7" ht="13.5" x14ac:dyDescent="0.3">
      <c r="A103" s="3">
        <f t="shared" si="1"/>
        <v>100</v>
      </c>
      <c r="B103" s="27" t="s">
        <v>258</v>
      </c>
      <c r="C103" s="35"/>
      <c r="D103" s="35" t="s">
        <v>206</v>
      </c>
      <c r="E103" s="5" t="s">
        <v>207</v>
      </c>
      <c r="F103" s="5"/>
      <c r="G103" s="25" t="s">
        <v>243</v>
      </c>
    </row>
    <row r="104" spans="1:7" ht="13.5" x14ac:dyDescent="0.3">
      <c r="A104" s="3">
        <f t="shared" si="1"/>
        <v>101</v>
      </c>
      <c r="B104" s="27" t="s">
        <v>257</v>
      </c>
      <c r="C104" s="35"/>
      <c r="D104" s="35"/>
      <c r="E104" s="5" t="s">
        <v>208</v>
      </c>
      <c r="F104" s="5" t="s">
        <v>209</v>
      </c>
      <c r="G104" s="25" t="s">
        <v>243</v>
      </c>
    </row>
    <row r="105" spans="1:7" ht="27" x14ac:dyDescent="0.3">
      <c r="A105" s="3">
        <f t="shared" si="1"/>
        <v>102</v>
      </c>
      <c r="B105" s="27" t="s">
        <v>256</v>
      </c>
      <c r="C105" s="36" t="s">
        <v>36</v>
      </c>
      <c r="D105" s="39" t="s">
        <v>261</v>
      </c>
      <c r="E105" s="15" t="s">
        <v>74</v>
      </c>
      <c r="F105" s="12" t="s">
        <v>75</v>
      </c>
      <c r="G105" s="25" t="s">
        <v>243</v>
      </c>
    </row>
    <row r="106" spans="1:7" ht="27" x14ac:dyDescent="0.3">
      <c r="A106" s="3">
        <f t="shared" si="1"/>
        <v>103</v>
      </c>
      <c r="B106" s="27" t="s">
        <v>256</v>
      </c>
      <c r="C106" s="37"/>
      <c r="D106" s="35"/>
      <c r="E106" s="12" t="s">
        <v>76</v>
      </c>
      <c r="F106" s="12" t="s">
        <v>77</v>
      </c>
      <c r="G106" s="25" t="s">
        <v>243</v>
      </c>
    </row>
    <row r="107" spans="1:7" ht="13.5" x14ac:dyDescent="0.3">
      <c r="A107" s="3">
        <f t="shared" si="1"/>
        <v>104</v>
      </c>
      <c r="B107" s="27" t="s">
        <v>255</v>
      </c>
      <c r="C107" s="37"/>
      <c r="D107" s="35"/>
      <c r="E107" s="12" t="s">
        <v>78</v>
      </c>
      <c r="F107" s="12" t="s">
        <v>79</v>
      </c>
      <c r="G107" s="25" t="s">
        <v>243</v>
      </c>
    </row>
    <row r="108" spans="1:7" ht="13.5" x14ac:dyDescent="0.3">
      <c r="A108" s="3">
        <f t="shared" si="1"/>
        <v>105</v>
      </c>
      <c r="B108" s="27" t="s">
        <v>255</v>
      </c>
      <c r="C108" s="37"/>
      <c r="D108" s="35"/>
      <c r="E108" s="12" t="s">
        <v>80</v>
      </c>
      <c r="F108" s="12" t="s">
        <v>81</v>
      </c>
      <c r="G108" s="25" t="s">
        <v>243</v>
      </c>
    </row>
    <row r="109" spans="1:7" ht="13.5" x14ac:dyDescent="0.3">
      <c r="A109" s="3">
        <f t="shared" si="1"/>
        <v>106</v>
      </c>
      <c r="B109" s="27" t="s">
        <v>255</v>
      </c>
      <c r="C109" s="37"/>
      <c r="D109" s="35"/>
      <c r="E109" s="12" t="s">
        <v>82</v>
      </c>
      <c r="F109" s="12" t="s">
        <v>83</v>
      </c>
      <c r="G109" s="25" t="s">
        <v>243</v>
      </c>
    </row>
    <row r="110" spans="1:7" ht="13.5" x14ac:dyDescent="0.3">
      <c r="A110" s="3">
        <f t="shared" si="1"/>
        <v>107</v>
      </c>
      <c r="B110" s="27" t="s">
        <v>255</v>
      </c>
      <c r="C110" s="38"/>
      <c r="D110" s="35"/>
      <c r="E110" s="12" t="s">
        <v>84</v>
      </c>
      <c r="F110" s="12" t="s">
        <v>85</v>
      </c>
      <c r="G110" s="25" t="s">
        <v>243</v>
      </c>
    </row>
  </sheetData>
  <autoFilter ref="A3:G17" xr:uid="{00000000-0001-0000-0000-000000000000}"/>
  <mergeCells count="33">
    <mergeCell ref="C4:C9"/>
    <mergeCell ref="D4:D9"/>
    <mergeCell ref="C10:C17"/>
    <mergeCell ref="D10:D12"/>
    <mergeCell ref="D13:D14"/>
    <mergeCell ref="D15:D17"/>
    <mergeCell ref="C52:C58"/>
    <mergeCell ref="D52:D58"/>
    <mergeCell ref="C19:C41"/>
    <mergeCell ref="D19:D23"/>
    <mergeCell ref="D24:D34"/>
    <mergeCell ref="D35:D41"/>
    <mergeCell ref="C42:C51"/>
    <mergeCell ref="D42:D44"/>
    <mergeCell ref="D45:D46"/>
    <mergeCell ref="D47:D49"/>
    <mergeCell ref="D50:D51"/>
    <mergeCell ref="C102:C104"/>
    <mergeCell ref="D103:D104"/>
    <mergeCell ref="C105:C110"/>
    <mergeCell ref="D105:D110"/>
    <mergeCell ref="A1:G1"/>
    <mergeCell ref="A2:G2"/>
    <mergeCell ref="C59:C91"/>
    <mergeCell ref="D59:D64"/>
    <mergeCell ref="D66:D77"/>
    <mergeCell ref="D79:D85"/>
    <mergeCell ref="D86:D89"/>
    <mergeCell ref="C92:C101"/>
    <mergeCell ref="D92:D94"/>
    <mergeCell ref="D95:D96"/>
    <mergeCell ref="D97:D99"/>
    <mergeCell ref="D100:D101"/>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20"/>
  <sheetViews>
    <sheetView topLeftCell="A8" zoomScaleNormal="100" workbookViewId="0">
      <selection activeCell="I8" sqref="I8"/>
    </sheetView>
  </sheetViews>
  <sheetFormatPr defaultColWidth="14" defaultRowHeight="13" x14ac:dyDescent="0.3"/>
  <cols>
    <col min="1" max="1" width="9" customWidth="1"/>
    <col min="2" max="2" width="14.36328125" style="32" customWidth="1"/>
    <col min="3" max="3" width="21" customWidth="1"/>
    <col min="4" max="4" width="20" customWidth="1"/>
    <col min="5" max="5" width="30" customWidth="1"/>
    <col min="6" max="6" width="52.1796875" customWidth="1"/>
    <col min="7" max="8" width="9" customWidth="1"/>
    <col min="9" max="9" width="39.1796875" customWidth="1"/>
    <col min="10" max="10" width="9" customWidth="1"/>
    <col min="11" max="11" width="97.1796875" bestFit="1" customWidth="1"/>
    <col min="12" max="21" width="9" customWidth="1"/>
  </cols>
  <sheetData>
    <row r="1" spans="1:9" ht="15" customHeight="1" x14ac:dyDescent="0.3">
      <c r="A1" s="3" t="s">
        <v>0</v>
      </c>
      <c r="B1" s="27" t="s">
        <v>250</v>
      </c>
      <c r="C1" s="3" t="s">
        <v>1</v>
      </c>
      <c r="D1" s="3" t="s">
        <v>2</v>
      </c>
      <c r="E1" s="3" t="s">
        <v>3</v>
      </c>
      <c r="F1" s="3" t="s">
        <v>4</v>
      </c>
      <c r="G1" s="3" t="s">
        <v>5</v>
      </c>
    </row>
    <row r="2" spans="1:9" ht="26.4" customHeight="1" x14ac:dyDescent="0.3">
      <c r="A2" s="3">
        <f t="shared" ref="A2:A114" si="0">ROW()-1</f>
        <v>1</v>
      </c>
      <c r="B2" s="31" t="s">
        <v>260</v>
      </c>
      <c r="C2" s="47" t="s">
        <v>210</v>
      </c>
      <c r="D2" s="47" t="s">
        <v>211</v>
      </c>
      <c r="E2" s="19" t="s">
        <v>212</v>
      </c>
      <c r="F2" s="20" t="s">
        <v>213</v>
      </c>
      <c r="G2" s="24" t="s">
        <v>246</v>
      </c>
      <c r="H2" s="1"/>
      <c r="I2" s="2" t="s">
        <v>247</v>
      </c>
    </row>
    <row r="3" spans="1:9" ht="33" customHeight="1" x14ac:dyDescent="0.3">
      <c r="A3" s="3">
        <f t="shared" si="0"/>
        <v>2</v>
      </c>
      <c r="B3" s="31" t="s">
        <v>260</v>
      </c>
      <c r="C3" s="47"/>
      <c r="D3" s="47"/>
      <c r="E3" s="22" t="s">
        <v>214</v>
      </c>
      <c r="F3" s="23" t="s">
        <v>215</v>
      </c>
      <c r="G3" s="24" t="s">
        <v>246</v>
      </c>
      <c r="I3" s="2" t="s">
        <v>248</v>
      </c>
    </row>
    <row r="4" spans="1:9" ht="26.4" customHeight="1" x14ac:dyDescent="0.3">
      <c r="A4" s="3">
        <f t="shared" si="0"/>
        <v>3</v>
      </c>
      <c r="B4" s="31" t="s">
        <v>259</v>
      </c>
      <c r="C4" s="47"/>
      <c r="D4" s="47"/>
      <c r="E4" s="19" t="s">
        <v>216</v>
      </c>
      <c r="F4" s="20" t="s">
        <v>217</v>
      </c>
      <c r="G4" s="24" t="s">
        <v>245</v>
      </c>
      <c r="I4" s="2" t="s">
        <v>249</v>
      </c>
    </row>
    <row r="5" spans="1:9" ht="15" customHeight="1" x14ac:dyDescent="0.3">
      <c r="A5" s="3">
        <f t="shared" si="0"/>
        <v>4</v>
      </c>
      <c r="B5" s="31" t="s">
        <v>259</v>
      </c>
      <c r="C5" s="47"/>
      <c r="D5" s="47"/>
      <c r="E5" s="19" t="s">
        <v>218</v>
      </c>
      <c r="F5" s="20" t="s">
        <v>219</v>
      </c>
      <c r="G5" s="24" t="s">
        <v>245</v>
      </c>
    </row>
    <row r="6" spans="1:9" ht="15" customHeight="1" x14ac:dyDescent="0.3">
      <c r="A6" s="3">
        <f t="shared" si="0"/>
        <v>5</v>
      </c>
      <c r="B6" s="31" t="s">
        <v>259</v>
      </c>
      <c r="C6" s="47"/>
      <c r="D6" s="47"/>
      <c r="E6" s="19" t="s">
        <v>220</v>
      </c>
      <c r="F6" s="20" t="s">
        <v>221</v>
      </c>
      <c r="G6" s="24" t="s">
        <v>245</v>
      </c>
    </row>
    <row r="7" spans="1:9" ht="15" customHeight="1" x14ac:dyDescent="0.3">
      <c r="A7" s="3">
        <f t="shared" si="0"/>
        <v>6</v>
      </c>
      <c r="B7" s="31" t="s">
        <v>259</v>
      </c>
      <c r="C7" s="47"/>
      <c r="D7" s="47"/>
      <c r="E7" s="19" t="s">
        <v>222</v>
      </c>
      <c r="F7" s="20" t="s">
        <v>223</v>
      </c>
      <c r="G7" s="24" t="s">
        <v>245</v>
      </c>
    </row>
    <row r="8" spans="1:9" ht="36" customHeight="1" x14ac:dyDescent="0.3">
      <c r="A8" s="3">
        <f t="shared" si="0"/>
        <v>7</v>
      </c>
      <c r="B8" s="28" t="s">
        <v>260</v>
      </c>
      <c r="C8" s="35" t="s">
        <v>224</v>
      </c>
      <c r="D8" s="35" t="s">
        <v>225</v>
      </c>
      <c r="E8" s="5" t="s">
        <v>226</v>
      </c>
      <c r="F8" s="5" t="s">
        <v>227</v>
      </c>
      <c r="G8" s="24" t="s">
        <v>245</v>
      </c>
    </row>
    <row r="9" spans="1:9" ht="15" customHeight="1" x14ac:dyDescent="0.3">
      <c r="A9" s="3">
        <f t="shared" si="0"/>
        <v>8</v>
      </c>
      <c r="B9" s="31" t="s">
        <v>259</v>
      </c>
      <c r="C9" s="35"/>
      <c r="D9" s="35"/>
      <c r="E9" s="5" t="s">
        <v>228</v>
      </c>
      <c r="F9" s="5" t="s">
        <v>229</v>
      </c>
      <c r="G9" s="24" t="s">
        <v>245</v>
      </c>
    </row>
    <row r="10" spans="1:9" ht="15" customHeight="1" x14ac:dyDescent="0.3">
      <c r="A10" s="3">
        <f t="shared" si="0"/>
        <v>9</v>
      </c>
      <c r="B10" s="28" t="s">
        <v>259</v>
      </c>
      <c r="C10" s="35"/>
      <c r="D10" s="35"/>
      <c r="E10" s="5" t="s">
        <v>230</v>
      </c>
      <c r="F10" s="5" t="s">
        <v>231</v>
      </c>
      <c r="G10" s="24" t="s">
        <v>245</v>
      </c>
    </row>
    <row r="11" spans="1:9" ht="47" customHeight="1" x14ac:dyDescent="0.3">
      <c r="A11" s="3">
        <f t="shared" si="0"/>
        <v>10</v>
      </c>
      <c r="B11" s="31" t="s">
        <v>259</v>
      </c>
      <c r="C11" s="35"/>
      <c r="D11" s="35" t="s">
        <v>232</v>
      </c>
      <c r="E11" s="5" t="s">
        <v>233</v>
      </c>
      <c r="F11" s="5" t="s">
        <v>234</v>
      </c>
      <c r="G11" s="24" t="s">
        <v>245</v>
      </c>
    </row>
    <row r="12" spans="1:9" ht="15" customHeight="1" x14ac:dyDescent="0.3">
      <c r="A12" s="3">
        <f t="shared" si="0"/>
        <v>11</v>
      </c>
      <c r="B12" s="28" t="s">
        <v>259</v>
      </c>
      <c r="C12" s="35"/>
      <c r="D12" s="35"/>
      <c r="E12" s="5" t="s">
        <v>228</v>
      </c>
      <c r="F12" s="5" t="s">
        <v>229</v>
      </c>
      <c r="G12" s="24" t="s">
        <v>245</v>
      </c>
    </row>
    <row r="13" spans="1:9" ht="15" customHeight="1" x14ac:dyDescent="0.3">
      <c r="A13" s="3">
        <f t="shared" si="0"/>
        <v>12</v>
      </c>
      <c r="B13" s="31" t="s">
        <v>259</v>
      </c>
      <c r="C13" s="35"/>
      <c r="D13" s="35" t="s">
        <v>235</v>
      </c>
      <c r="E13" s="5" t="s">
        <v>98</v>
      </c>
      <c r="F13" s="5" t="s">
        <v>236</v>
      </c>
      <c r="G13" s="24" t="s">
        <v>245</v>
      </c>
    </row>
    <row r="14" spans="1:9" ht="15" customHeight="1" x14ac:dyDescent="0.3">
      <c r="A14" s="3">
        <f t="shared" si="0"/>
        <v>13</v>
      </c>
      <c r="B14" s="28" t="s">
        <v>259</v>
      </c>
      <c r="C14" s="35"/>
      <c r="D14" s="35"/>
      <c r="E14" s="5" t="s">
        <v>237</v>
      </c>
      <c r="F14" s="5" t="s">
        <v>238</v>
      </c>
      <c r="G14" s="24" t="s">
        <v>245</v>
      </c>
    </row>
    <row r="15" spans="1:9" ht="15" customHeight="1" x14ac:dyDescent="0.3">
      <c r="A15" s="3">
        <f t="shared" si="0"/>
        <v>14</v>
      </c>
      <c r="B15" s="31" t="s">
        <v>259</v>
      </c>
      <c r="C15" s="35"/>
      <c r="D15" s="35"/>
      <c r="E15" s="5" t="s">
        <v>239</v>
      </c>
      <c r="F15" s="5" t="s">
        <v>240</v>
      </c>
      <c r="G15" s="24" t="s">
        <v>245</v>
      </c>
    </row>
    <row r="16" spans="1:9" ht="40.5" x14ac:dyDescent="0.3">
      <c r="A16" s="3">
        <f t="shared" ref="A16:A50" si="1">ROW()-1</f>
        <v>15</v>
      </c>
      <c r="B16" s="28" t="s">
        <v>252</v>
      </c>
      <c r="C16" s="51" t="s">
        <v>6</v>
      </c>
      <c r="D16" s="51" t="s">
        <v>7</v>
      </c>
      <c r="E16" s="4" t="s">
        <v>8</v>
      </c>
      <c r="F16" s="4" t="s">
        <v>9</v>
      </c>
      <c r="G16" s="26" t="s">
        <v>242</v>
      </c>
    </row>
    <row r="17" spans="1:7" ht="40.5" x14ac:dyDescent="0.3">
      <c r="A17" s="3">
        <f t="shared" si="1"/>
        <v>16</v>
      </c>
      <c r="B17" s="28" t="s">
        <v>252</v>
      </c>
      <c r="C17" s="51"/>
      <c r="D17" s="51"/>
      <c r="E17" s="4" t="s">
        <v>10</v>
      </c>
      <c r="F17" s="4" t="s">
        <v>11</v>
      </c>
      <c r="G17" s="26" t="s">
        <v>242</v>
      </c>
    </row>
    <row r="18" spans="1:7" ht="13.5" x14ac:dyDescent="0.3">
      <c r="A18" s="3">
        <f t="shared" si="1"/>
        <v>17</v>
      </c>
      <c r="B18" s="28" t="s">
        <v>251</v>
      </c>
      <c r="C18" s="51"/>
      <c r="D18" s="51"/>
      <c r="E18" s="4" t="s">
        <v>12</v>
      </c>
      <c r="F18" s="4" t="s">
        <v>13</v>
      </c>
      <c r="G18" s="26" t="s">
        <v>241</v>
      </c>
    </row>
    <row r="19" spans="1:7" ht="13.5" x14ac:dyDescent="0.3">
      <c r="A19" s="3">
        <f t="shared" si="1"/>
        <v>18</v>
      </c>
      <c r="B19" s="28" t="s">
        <v>251</v>
      </c>
      <c r="C19" s="51"/>
      <c r="D19" s="51"/>
      <c r="E19" s="4" t="s">
        <v>14</v>
      </c>
      <c r="F19" s="4" t="s">
        <v>15</v>
      </c>
      <c r="G19" s="26" t="s">
        <v>241</v>
      </c>
    </row>
    <row r="20" spans="1:7" ht="13.5" x14ac:dyDescent="0.3">
      <c r="A20" s="3">
        <f t="shared" si="1"/>
        <v>19</v>
      </c>
      <c r="B20" s="28" t="s">
        <v>251</v>
      </c>
      <c r="C20" s="51"/>
      <c r="D20" s="51"/>
      <c r="E20" s="4" t="s">
        <v>16</v>
      </c>
      <c r="F20" s="4" t="s">
        <v>17</v>
      </c>
      <c r="G20" s="26" t="s">
        <v>241</v>
      </c>
    </row>
    <row r="21" spans="1:7" ht="13.5" x14ac:dyDescent="0.3">
      <c r="A21" s="3">
        <f t="shared" si="1"/>
        <v>20</v>
      </c>
      <c r="B21" s="28" t="s">
        <v>251</v>
      </c>
      <c r="C21" s="51"/>
      <c r="D21" s="51"/>
      <c r="E21" s="4" t="s">
        <v>18</v>
      </c>
      <c r="F21" s="4" t="s">
        <v>19</v>
      </c>
      <c r="G21" s="26" t="s">
        <v>241</v>
      </c>
    </row>
    <row r="22" spans="1:7" ht="13.5" x14ac:dyDescent="0.3">
      <c r="A22" s="3">
        <f t="shared" si="1"/>
        <v>21</v>
      </c>
      <c r="B22" s="28" t="s">
        <v>251</v>
      </c>
      <c r="C22" s="51"/>
      <c r="D22" s="51"/>
      <c r="E22" s="4" t="s">
        <v>20</v>
      </c>
      <c r="F22" s="4" t="s">
        <v>21</v>
      </c>
      <c r="G22" s="26" t="s">
        <v>241</v>
      </c>
    </row>
    <row r="23" spans="1:7" ht="40.5" x14ac:dyDescent="0.3">
      <c r="A23" s="3">
        <f t="shared" si="1"/>
        <v>22</v>
      </c>
      <c r="B23" s="28" t="s">
        <v>251</v>
      </c>
      <c r="C23" s="51"/>
      <c r="D23" s="51" t="s">
        <v>22</v>
      </c>
      <c r="E23" s="4" t="s">
        <v>23</v>
      </c>
      <c r="F23" s="4" t="s">
        <v>24</v>
      </c>
      <c r="G23" s="26" t="s">
        <v>241</v>
      </c>
    </row>
    <row r="24" spans="1:7" ht="13.5" x14ac:dyDescent="0.3">
      <c r="A24" s="3">
        <f t="shared" si="1"/>
        <v>23</v>
      </c>
      <c r="B24" s="28" t="s">
        <v>251</v>
      </c>
      <c r="C24" s="51"/>
      <c r="D24" s="51"/>
      <c r="E24" s="4" t="s">
        <v>25</v>
      </c>
      <c r="F24" s="4" t="s">
        <v>26</v>
      </c>
      <c r="G24" s="26" t="s">
        <v>241</v>
      </c>
    </row>
    <row r="25" spans="1:7" ht="13.5" x14ac:dyDescent="0.3">
      <c r="A25" s="3">
        <f t="shared" ref="A25:A120" si="2">ROW()-1</f>
        <v>24</v>
      </c>
      <c r="B25" s="27" t="s">
        <v>252</v>
      </c>
      <c r="C25" s="48" t="s">
        <v>262</v>
      </c>
      <c r="D25" s="35" t="s">
        <v>86</v>
      </c>
      <c r="E25" s="5" t="s">
        <v>87</v>
      </c>
      <c r="F25" s="5" t="s">
        <v>88</v>
      </c>
      <c r="G25" s="26" t="s">
        <v>242</v>
      </c>
    </row>
    <row r="26" spans="1:7" ht="13.5" x14ac:dyDescent="0.3">
      <c r="A26" s="3">
        <f t="shared" si="2"/>
        <v>25</v>
      </c>
      <c r="B26" s="27" t="s">
        <v>252</v>
      </c>
      <c r="C26" s="49"/>
      <c r="D26" s="35"/>
      <c r="E26" s="5" t="s">
        <v>89</v>
      </c>
      <c r="F26" s="5" t="s">
        <v>90</v>
      </c>
      <c r="G26" s="25" t="s">
        <v>244</v>
      </c>
    </row>
    <row r="27" spans="1:7" ht="27" x14ac:dyDescent="0.3">
      <c r="A27" s="3">
        <f t="shared" si="2"/>
        <v>26</v>
      </c>
      <c r="B27" s="27" t="s">
        <v>252</v>
      </c>
      <c r="C27" s="50"/>
      <c r="D27" s="3" t="s">
        <v>91</v>
      </c>
      <c r="E27" s="14"/>
      <c r="F27" s="14"/>
      <c r="G27" s="26" t="s">
        <v>242</v>
      </c>
    </row>
    <row r="28" spans="1:7" ht="13.5" x14ac:dyDescent="0.3">
      <c r="A28" s="3">
        <f t="shared" si="1"/>
        <v>27</v>
      </c>
      <c r="B28" s="27" t="s">
        <v>254</v>
      </c>
      <c r="C28" s="36" t="s">
        <v>27</v>
      </c>
      <c r="D28" s="39" t="s">
        <v>263</v>
      </c>
      <c r="E28" s="5" t="s">
        <v>28</v>
      </c>
      <c r="F28" s="6" t="s">
        <v>29</v>
      </c>
      <c r="G28" s="25" t="s">
        <v>244</v>
      </c>
    </row>
    <row r="29" spans="1:7" ht="13.5" x14ac:dyDescent="0.3">
      <c r="A29" s="3">
        <f t="shared" si="1"/>
        <v>28</v>
      </c>
      <c r="B29" s="27" t="s">
        <v>254</v>
      </c>
      <c r="C29" s="37"/>
      <c r="D29" s="35"/>
      <c r="E29" s="5" t="s">
        <v>30</v>
      </c>
      <c r="F29" s="5" t="s">
        <v>31</v>
      </c>
      <c r="G29" s="25" t="s">
        <v>244</v>
      </c>
    </row>
    <row r="30" spans="1:7" ht="13.5" x14ac:dyDescent="0.3">
      <c r="A30" s="3">
        <f t="shared" si="1"/>
        <v>29</v>
      </c>
      <c r="B30" s="27" t="s">
        <v>253</v>
      </c>
      <c r="C30" s="37"/>
      <c r="D30" s="35"/>
      <c r="E30" s="5" t="s">
        <v>32</v>
      </c>
      <c r="F30" s="5" t="s">
        <v>33</v>
      </c>
      <c r="G30" s="25" t="s">
        <v>243</v>
      </c>
    </row>
    <row r="31" spans="1:7" ht="13.5" x14ac:dyDescent="0.3">
      <c r="A31" s="3">
        <f t="shared" si="1"/>
        <v>30</v>
      </c>
      <c r="B31" s="27" t="s">
        <v>253</v>
      </c>
      <c r="C31" s="37"/>
      <c r="D31" s="35"/>
      <c r="E31" s="5" t="s">
        <v>34</v>
      </c>
      <c r="F31" s="5" t="s">
        <v>35</v>
      </c>
      <c r="G31" s="25" t="s">
        <v>243</v>
      </c>
    </row>
    <row r="32" spans="1:7" ht="13.5" x14ac:dyDescent="0.3">
      <c r="A32" s="3">
        <f t="shared" si="1"/>
        <v>31</v>
      </c>
      <c r="B32" s="27" t="s">
        <v>253</v>
      </c>
      <c r="C32" s="37"/>
      <c r="D32" s="35"/>
      <c r="E32" s="5" t="s">
        <v>36</v>
      </c>
      <c r="F32" s="5" t="s">
        <v>37</v>
      </c>
      <c r="G32" s="25" t="s">
        <v>243</v>
      </c>
    </row>
    <row r="33" spans="1:7" ht="13.5" x14ac:dyDescent="0.3">
      <c r="A33" s="3">
        <f t="shared" si="1"/>
        <v>32</v>
      </c>
      <c r="B33" s="27" t="s">
        <v>253</v>
      </c>
      <c r="C33" s="37"/>
      <c r="D33" s="46" t="s">
        <v>38</v>
      </c>
      <c r="E33" s="7" t="s">
        <v>39</v>
      </c>
      <c r="F33" s="7" t="s">
        <v>40</v>
      </c>
      <c r="G33" s="25" t="s">
        <v>243</v>
      </c>
    </row>
    <row r="34" spans="1:7" ht="13.5" x14ac:dyDescent="0.3">
      <c r="A34" s="3">
        <f t="shared" si="1"/>
        <v>33</v>
      </c>
      <c r="B34" s="27" t="s">
        <v>253</v>
      </c>
      <c r="C34" s="37"/>
      <c r="D34" s="35"/>
      <c r="E34" s="5" t="s">
        <v>41</v>
      </c>
      <c r="F34" s="5" t="s">
        <v>42</v>
      </c>
      <c r="G34" s="25" t="s">
        <v>243</v>
      </c>
    </row>
    <row r="35" spans="1:7" ht="13.5" x14ac:dyDescent="0.3">
      <c r="A35" s="3">
        <f t="shared" si="1"/>
        <v>34</v>
      </c>
      <c r="B35" s="27" t="s">
        <v>253</v>
      </c>
      <c r="C35" s="37"/>
      <c r="D35" s="35"/>
      <c r="E35" s="5" t="s">
        <v>43</v>
      </c>
      <c r="F35" s="5" t="s">
        <v>44</v>
      </c>
      <c r="G35" s="25" t="s">
        <v>243</v>
      </c>
    </row>
    <row r="36" spans="1:7" ht="54" x14ac:dyDescent="0.3">
      <c r="A36" s="3">
        <f t="shared" si="1"/>
        <v>35</v>
      </c>
      <c r="B36" s="27" t="s">
        <v>253</v>
      </c>
      <c r="C36" s="37"/>
      <c r="D36" s="35"/>
      <c r="E36" s="5" t="s">
        <v>45</v>
      </c>
      <c r="F36" s="5" t="s">
        <v>46</v>
      </c>
      <c r="G36" s="25" t="s">
        <v>243</v>
      </c>
    </row>
    <row r="37" spans="1:7" ht="27" x14ac:dyDescent="0.3">
      <c r="A37" s="3">
        <f t="shared" si="1"/>
        <v>36</v>
      </c>
      <c r="B37" s="27" t="s">
        <v>253</v>
      </c>
      <c r="C37" s="37"/>
      <c r="D37" s="35"/>
      <c r="E37" s="5" t="s">
        <v>47</v>
      </c>
      <c r="F37" s="5" t="s">
        <v>48</v>
      </c>
      <c r="G37" s="25" t="s">
        <v>243</v>
      </c>
    </row>
    <row r="38" spans="1:7" ht="13.5" x14ac:dyDescent="0.3">
      <c r="A38" s="3">
        <f t="shared" si="1"/>
        <v>37</v>
      </c>
      <c r="B38" s="27" t="s">
        <v>253</v>
      </c>
      <c r="C38" s="37"/>
      <c r="D38" s="35"/>
      <c r="E38" s="5" t="s">
        <v>49</v>
      </c>
      <c r="F38" s="8" t="s">
        <v>50</v>
      </c>
      <c r="G38" s="25" t="s">
        <v>243</v>
      </c>
    </row>
    <row r="39" spans="1:7" ht="13.5" x14ac:dyDescent="0.3">
      <c r="A39" s="3">
        <f t="shared" si="1"/>
        <v>38</v>
      </c>
      <c r="B39" s="27" t="s">
        <v>253</v>
      </c>
      <c r="C39" s="37"/>
      <c r="D39" s="35"/>
      <c r="E39" s="5" t="s">
        <v>51</v>
      </c>
      <c r="F39" s="9"/>
      <c r="G39" s="25" t="s">
        <v>243</v>
      </c>
    </row>
    <row r="40" spans="1:7" ht="13.5" x14ac:dyDescent="0.3">
      <c r="A40" s="3">
        <f t="shared" si="1"/>
        <v>39</v>
      </c>
      <c r="B40" s="27" t="s">
        <v>253</v>
      </c>
      <c r="C40" s="37"/>
      <c r="D40" s="35"/>
      <c r="E40" s="5" t="s">
        <v>52</v>
      </c>
      <c r="F40" s="9"/>
      <c r="G40" s="25" t="s">
        <v>243</v>
      </c>
    </row>
    <row r="41" spans="1:7" ht="13.5" x14ac:dyDescent="0.3">
      <c r="A41" s="3">
        <f t="shared" si="1"/>
        <v>40</v>
      </c>
      <c r="B41" s="27" t="s">
        <v>253</v>
      </c>
      <c r="C41" s="37"/>
      <c r="D41" s="35"/>
      <c r="E41" s="5" t="s">
        <v>53</v>
      </c>
      <c r="F41" s="10" t="s">
        <v>54</v>
      </c>
      <c r="G41" s="26" t="s">
        <v>242</v>
      </c>
    </row>
    <row r="42" spans="1:7" ht="27" x14ac:dyDescent="0.3">
      <c r="A42" s="3">
        <f t="shared" si="1"/>
        <v>41</v>
      </c>
      <c r="B42" s="27" t="s">
        <v>253</v>
      </c>
      <c r="C42" s="37"/>
      <c r="D42" s="35"/>
      <c r="E42" s="11" t="s">
        <v>55</v>
      </c>
      <c r="F42" s="12" t="s">
        <v>56</v>
      </c>
      <c r="G42" s="26" t="s">
        <v>242</v>
      </c>
    </row>
    <row r="43" spans="1:7" ht="13.5" x14ac:dyDescent="0.3">
      <c r="A43" s="3">
        <f t="shared" si="1"/>
        <v>42</v>
      </c>
      <c r="B43" s="27" t="s">
        <v>253</v>
      </c>
      <c r="C43" s="37"/>
      <c r="D43" s="35"/>
      <c r="E43" s="13" t="s">
        <v>57</v>
      </c>
      <c r="F43" s="5" t="s">
        <v>58</v>
      </c>
      <c r="G43" s="25" t="s">
        <v>243</v>
      </c>
    </row>
    <row r="44" spans="1:7" ht="40.5" x14ac:dyDescent="0.3">
      <c r="A44" s="3">
        <f t="shared" si="1"/>
        <v>43</v>
      </c>
      <c r="B44" s="27" t="s">
        <v>253</v>
      </c>
      <c r="C44" s="37"/>
      <c r="D44" s="35" t="s">
        <v>59</v>
      </c>
      <c r="E44" s="5" t="s">
        <v>60</v>
      </c>
      <c r="F44" s="5" t="s">
        <v>61</v>
      </c>
      <c r="G44" s="25" t="s">
        <v>243</v>
      </c>
    </row>
    <row r="45" spans="1:7" ht="40.5" x14ac:dyDescent="0.3">
      <c r="A45" s="3">
        <f t="shared" si="1"/>
        <v>44</v>
      </c>
      <c r="B45" s="27" t="s">
        <v>253</v>
      </c>
      <c r="C45" s="37"/>
      <c r="D45" s="35"/>
      <c r="E45" s="5" t="s">
        <v>62</v>
      </c>
      <c r="F45" s="5" t="s">
        <v>63</v>
      </c>
      <c r="G45" s="25" t="s">
        <v>243</v>
      </c>
    </row>
    <row r="46" spans="1:7" ht="40.5" x14ac:dyDescent="0.3">
      <c r="A46" s="3">
        <f t="shared" si="1"/>
        <v>45</v>
      </c>
      <c r="B46" s="27" t="s">
        <v>253</v>
      </c>
      <c r="C46" s="37"/>
      <c r="D46" s="35"/>
      <c r="E46" s="5" t="s">
        <v>64</v>
      </c>
      <c r="F46" s="5" t="s">
        <v>65</v>
      </c>
      <c r="G46" s="25" t="s">
        <v>243</v>
      </c>
    </row>
    <row r="47" spans="1:7" ht="13.5" x14ac:dyDescent="0.3">
      <c r="A47" s="3">
        <f t="shared" si="1"/>
        <v>46</v>
      </c>
      <c r="B47" s="27" t="s">
        <v>253</v>
      </c>
      <c r="C47" s="37"/>
      <c r="D47" s="35"/>
      <c r="E47" s="5" t="s">
        <v>66</v>
      </c>
      <c r="F47" s="5" t="s">
        <v>67</v>
      </c>
      <c r="G47" s="25" t="s">
        <v>243</v>
      </c>
    </row>
    <row r="48" spans="1:7" ht="13.5" x14ac:dyDescent="0.3">
      <c r="A48" s="3">
        <f t="shared" si="1"/>
        <v>47</v>
      </c>
      <c r="B48" s="27" t="s">
        <v>253</v>
      </c>
      <c r="C48" s="37"/>
      <c r="D48" s="35"/>
      <c r="E48" s="5" t="s">
        <v>68</v>
      </c>
      <c r="F48" s="5" t="s">
        <v>69</v>
      </c>
      <c r="G48" s="25" t="s">
        <v>243</v>
      </c>
    </row>
    <row r="49" spans="1:7" ht="13.5" x14ac:dyDescent="0.3">
      <c r="A49" s="3">
        <f t="shared" si="1"/>
        <v>48</v>
      </c>
      <c r="B49" s="27" t="s">
        <v>253</v>
      </c>
      <c r="C49" s="37"/>
      <c r="D49" s="35"/>
      <c r="E49" s="5" t="s">
        <v>36</v>
      </c>
      <c r="F49" s="5" t="s">
        <v>70</v>
      </c>
      <c r="G49" s="25" t="s">
        <v>243</v>
      </c>
    </row>
    <row r="50" spans="1:7" ht="13.5" x14ac:dyDescent="0.3">
      <c r="A50" s="3">
        <f t="shared" si="1"/>
        <v>49</v>
      </c>
      <c r="B50" s="27" t="s">
        <v>253</v>
      </c>
      <c r="C50" s="37"/>
      <c r="D50" s="35"/>
      <c r="E50" s="5" t="s">
        <v>71</v>
      </c>
      <c r="F50" s="5" t="s">
        <v>72</v>
      </c>
      <c r="G50" s="25" t="s">
        <v>243</v>
      </c>
    </row>
    <row r="51" spans="1:7" ht="27" x14ac:dyDescent="0.3">
      <c r="A51" s="3">
        <f t="shared" si="2"/>
        <v>50</v>
      </c>
      <c r="B51" s="27" t="s">
        <v>253</v>
      </c>
      <c r="C51" s="38"/>
      <c r="D51" s="35"/>
      <c r="E51" s="5" t="s">
        <v>73</v>
      </c>
      <c r="F51" s="14"/>
      <c r="G51" s="26" t="s">
        <v>242</v>
      </c>
    </row>
    <row r="52" spans="1:7" ht="13.5" x14ac:dyDescent="0.3">
      <c r="A52" s="3">
        <f t="shared" ref="A52:A111" si="3">ROW()-1</f>
        <v>51</v>
      </c>
      <c r="B52" s="27" t="s">
        <v>254</v>
      </c>
      <c r="C52" s="39" t="s">
        <v>264</v>
      </c>
      <c r="D52" s="35" t="s">
        <v>164</v>
      </c>
      <c r="E52" s="21" t="s">
        <v>165</v>
      </c>
      <c r="F52" s="21" t="s">
        <v>166</v>
      </c>
      <c r="G52" s="25" t="s">
        <v>243</v>
      </c>
    </row>
    <row r="53" spans="1:7" ht="27" x14ac:dyDescent="0.3">
      <c r="A53" s="3">
        <f t="shared" si="3"/>
        <v>52</v>
      </c>
      <c r="B53" s="27" t="s">
        <v>254</v>
      </c>
      <c r="C53" s="35"/>
      <c r="D53" s="35"/>
      <c r="E53" s="21" t="s">
        <v>167</v>
      </c>
      <c r="F53" s="21" t="s">
        <v>168</v>
      </c>
      <c r="G53" s="25" t="s">
        <v>243</v>
      </c>
    </row>
    <row r="54" spans="1:7" ht="13.5" x14ac:dyDescent="0.3">
      <c r="A54" s="3">
        <f t="shared" si="3"/>
        <v>53</v>
      </c>
      <c r="B54" s="27" t="s">
        <v>253</v>
      </c>
      <c r="C54" s="35"/>
      <c r="D54" s="35"/>
      <c r="E54" s="21" t="s">
        <v>169</v>
      </c>
      <c r="F54" s="21" t="s">
        <v>170</v>
      </c>
      <c r="G54" s="25" t="s">
        <v>243</v>
      </c>
    </row>
    <row r="55" spans="1:7" ht="54" x14ac:dyDescent="0.3">
      <c r="A55" s="3">
        <f t="shared" si="3"/>
        <v>54</v>
      </c>
      <c r="B55" s="27" t="s">
        <v>253</v>
      </c>
      <c r="C55" s="35"/>
      <c r="D55" s="35" t="s">
        <v>185</v>
      </c>
      <c r="E55" s="21" t="s">
        <v>172</v>
      </c>
      <c r="F55" s="21" t="s">
        <v>186</v>
      </c>
      <c r="G55" s="25" t="s">
        <v>243</v>
      </c>
    </row>
    <row r="56" spans="1:7" ht="13.5" x14ac:dyDescent="0.3">
      <c r="A56" s="3">
        <f t="shared" si="3"/>
        <v>55</v>
      </c>
      <c r="B56" s="27" t="s">
        <v>253</v>
      </c>
      <c r="C56" s="35"/>
      <c r="D56" s="35"/>
      <c r="E56" s="5" t="s">
        <v>174</v>
      </c>
      <c r="F56" s="14"/>
      <c r="G56" s="25" t="s">
        <v>243</v>
      </c>
    </row>
    <row r="57" spans="1:7" ht="40.5" x14ac:dyDescent="0.3">
      <c r="A57" s="3">
        <f t="shared" si="3"/>
        <v>56</v>
      </c>
      <c r="B57" s="27" t="s">
        <v>253</v>
      </c>
      <c r="C57" s="35"/>
      <c r="D57" s="35" t="s">
        <v>175</v>
      </c>
      <c r="E57" s="21" t="s">
        <v>176</v>
      </c>
      <c r="F57" s="21" t="s">
        <v>187</v>
      </c>
      <c r="G57" s="25" t="s">
        <v>243</v>
      </c>
    </row>
    <row r="58" spans="1:7" ht="13.5" x14ac:dyDescent="0.3">
      <c r="A58" s="3">
        <f t="shared" si="3"/>
        <v>57</v>
      </c>
      <c r="B58" s="27" t="s">
        <v>253</v>
      </c>
      <c r="C58" s="35"/>
      <c r="D58" s="35"/>
      <c r="E58" s="5" t="s">
        <v>178</v>
      </c>
      <c r="F58" s="5" t="s">
        <v>179</v>
      </c>
      <c r="G58" s="25" t="s">
        <v>243</v>
      </c>
    </row>
    <row r="59" spans="1:7" ht="13.5" x14ac:dyDescent="0.3">
      <c r="A59" s="3">
        <f t="shared" si="3"/>
        <v>58</v>
      </c>
      <c r="B59" s="27" t="s">
        <v>253</v>
      </c>
      <c r="C59" s="35"/>
      <c r="D59" s="35"/>
      <c r="E59" s="5" t="s">
        <v>180</v>
      </c>
      <c r="F59" s="14"/>
      <c r="G59" s="25" t="s">
        <v>243</v>
      </c>
    </row>
    <row r="60" spans="1:7" ht="13.5" x14ac:dyDescent="0.3">
      <c r="A60" s="3">
        <f t="shared" si="3"/>
        <v>59</v>
      </c>
      <c r="B60" s="27" t="s">
        <v>253</v>
      </c>
      <c r="C60" s="35"/>
      <c r="D60" s="35" t="s">
        <v>181</v>
      </c>
      <c r="E60" s="5" t="s">
        <v>182</v>
      </c>
      <c r="F60" s="5" t="s">
        <v>183</v>
      </c>
      <c r="G60" s="25" t="s">
        <v>243</v>
      </c>
    </row>
    <row r="61" spans="1:7" ht="13.5" x14ac:dyDescent="0.3">
      <c r="A61" s="3">
        <f t="shared" si="3"/>
        <v>60</v>
      </c>
      <c r="B61" s="27" t="s">
        <v>253</v>
      </c>
      <c r="C61" s="35"/>
      <c r="D61" s="35"/>
      <c r="E61" s="5" t="s">
        <v>184</v>
      </c>
      <c r="F61" s="14"/>
      <c r="G61" s="25" t="s">
        <v>243</v>
      </c>
    </row>
    <row r="62" spans="1:7" ht="27" x14ac:dyDescent="0.3">
      <c r="A62" s="3">
        <f t="shared" si="3"/>
        <v>61</v>
      </c>
      <c r="B62" s="27" t="s">
        <v>253</v>
      </c>
      <c r="C62" s="35" t="s">
        <v>188</v>
      </c>
      <c r="D62" s="35" t="s">
        <v>164</v>
      </c>
      <c r="E62" s="5" t="s">
        <v>189</v>
      </c>
      <c r="F62" s="5" t="s">
        <v>190</v>
      </c>
      <c r="G62" s="25" t="s">
        <v>243</v>
      </c>
    </row>
    <row r="63" spans="1:7" ht="27" x14ac:dyDescent="0.3">
      <c r="A63" s="3">
        <f t="shared" si="0"/>
        <v>62</v>
      </c>
      <c r="B63" s="27" t="s">
        <v>253</v>
      </c>
      <c r="C63" s="35"/>
      <c r="D63" s="35"/>
      <c r="E63" s="5" t="s">
        <v>191</v>
      </c>
      <c r="F63" s="5" t="s">
        <v>192</v>
      </c>
      <c r="G63" s="25" t="s">
        <v>243</v>
      </c>
    </row>
    <row r="64" spans="1:7" ht="54" x14ac:dyDescent="0.3">
      <c r="A64" s="3">
        <f t="shared" si="0"/>
        <v>63</v>
      </c>
      <c r="B64" s="27" t="s">
        <v>253</v>
      </c>
      <c r="C64" s="35"/>
      <c r="D64" s="35"/>
      <c r="E64" s="5" t="s">
        <v>193</v>
      </c>
      <c r="F64" s="5" t="s">
        <v>194</v>
      </c>
      <c r="G64" s="25" t="s">
        <v>243</v>
      </c>
    </row>
    <row r="65" spans="1:7" ht="27" x14ac:dyDescent="0.3">
      <c r="A65" s="3">
        <f t="shared" si="0"/>
        <v>64</v>
      </c>
      <c r="B65" s="27" t="s">
        <v>253</v>
      </c>
      <c r="C65" s="35"/>
      <c r="D65" s="35"/>
      <c r="E65" s="5" t="s">
        <v>195</v>
      </c>
      <c r="F65" s="5" t="s">
        <v>196</v>
      </c>
      <c r="G65" s="25" t="s">
        <v>243</v>
      </c>
    </row>
    <row r="66" spans="1:7" ht="40.5" x14ac:dyDescent="0.3">
      <c r="A66" s="3">
        <f t="shared" si="0"/>
        <v>65</v>
      </c>
      <c r="B66" s="27" t="s">
        <v>253</v>
      </c>
      <c r="C66" s="35"/>
      <c r="D66" s="35"/>
      <c r="E66" s="5" t="s">
        <v>197</v>
      </c>
      <c r="F66" s="5" t="s">
        <v>198</v>
      </c>
      <c r="G66" s="25" t="s">
        <v>243</v>
      </c>
    </row>
    <row r="67" spans="1:7" ht="13.5" x14ac:dyDescent="0.3">
      <c r="A67" s="3">
        <f t="shared" si="0"/>
        <v>66</v>
      </c>
      <c r="B67" s="27" t="s">
        <v>253</v>
      </c>
      <c r="C67" s="35"/>
      <c r="D67" s="35"/>
      <c r="E67" s="5" t="s">
        <v>199</v>
      </c>
      <c r="F67" s="5" t="s">
        <v>200</v>
      </c>
      <c r="G67" s="25" t="s">
        <v>243</v>
      </c>
    </row>
    <row r="68" spans="1:7" ht="13.5" x14ac:dyDescent="0.3">
      <c r="A68" s="3">
        <f t="shared" si="0"/>
        <v>67</v>
      </c>
      <c r="B68" s="27" t="s">
        <v>253</v>
      </c>
      <c r="C68" s="35"/>
      <c r="D68" s="35"/>
      <c r="E68" s="5" t="s">
        <v>201</v>
      </c>
      <c r="F68" s="5" t="s">
        <v>202</v>
      </c>
      <c r="G68" s="25" t="s">
        <v>243</v>
      </c>
    </row>
    <row r="69" spans="1:7" ht="27" x14ac:dyDescent="0.3">
      <c r="A69" s="3">
        <f t="shared" si="2"/>
        <v>68</v>
      </c>
      <c r="B69" s="27" t="s">
        <v>258</v>
      </c>
      <c r="C69" s="35" t="s">
        <v>92</v>
      </c>
      <c r="D69" s="43" t="s">
        <v>93</v>
      </c>
      <c r="E69" s="16" t="s">
        <v>94</v>
      </c>
      <c r="F69" s="16" t="s">
        <v>95</v>
      </c>
      <c r="G69" s="24" t="s">
        <v>246</v>
      </c>
    </row>
    <row r="70" spans="1:7" ht="54" x14ac:dyDescent="0.3">
      <c r="A70" s="3">
        <f t="shared" si="2"/>
        <v>69</v>
      </c>
      <c r="B70" s="27" t="s">
        <v>258</v>
      </c>
      <c r="C70" s="35"/>
      <c r="D70" s="43"/>
      <c r="E70" s="16" t="s">
        <v>96</v>
      </c>
      <c r="F70" s="16" t="s">
        <v>97</v>
      </c>
      <c r="G70" s="25" t="s">
        <v>243</v>
      </c>
    </row>
    <row r="71" spans="1:7" ht="13.5" x14ac:dyDescent="0.3">
      <c r="A71" s="3">
        <f t="shared" si="2"/>
        <v>70</v>
      </c>
      <c r="B71" s="27" t="s">
        <v>257</v>
      </c>
      <c r="C71" s="35"/>
      <c r="D71" s="43"/>
      <c r="E71" s="16" t="s">
        <v>98</v>
      </c>
      <c r="F71" s="16" t="s">
        <v>99</v>
      </c>
      <c r="G71" s="25" t="s">
        <v>243</v>
      </c>
    </row>
    <row r="72" spans="1:7" ht="13.5" x14ac:dyDescent="0.3">
      <c r="A72" s="3">
        <f t="shared" si="2"/>
        <v>71</v>
      </c>
      <c r="B72" s="27" t="s">
        <v>257</v>
      </c>
      <c r="C72" s="35"/>
      <c r="D72" s="43"/>
      <c r="E72" s="16" t="s">
        <v>100</v>
      </c>
      <c r="F72" s="16" t="s">
        <v>101</v>
      </c>
      <c r="G72" s="25" t="s">
        <v>243</v>
      </c>
    </row>
    <row r="73" spans="1:7" ht="13.5" x14ac:dyDescent="0.3">
      <c r="A73" s="3">
        <f t="shared" si="2"/>
        <v>72</v>
      </c>
      <c r="B73" s="27" t="s">
        <v>257</v>
      </c>
      <c r="C73" s="35"/>
      <c r="D73" s="43"/>
      <c r="E73" s="16" t="s">
        <v>102</v>
      </c>
      <c r="F73" s="16" t="s">
        <v>103</v>
      </c>
      <c r="G73" s="25" t="s">
        <v>243</v>
      </c>
    </row>
    <row r="74" spans="1:7" ht="27" x14ac:dyDescent="0.3">
      <c r="A74" s="3">
        <f t="shared" si="2"/>
        <v>73</v>
      </c>
      <c r="B74" s="27" t="s">
        <v>257</v>
      </c>
      <c r="C74" s="35"/>
      <c r="D74" s="43"/>
      <c r="E74" s="16" t="s">
        <v>104</v>
      </c>
      <c r="F74" s="16" t="s">
        <v>105</v>
      </c>
      <c r="G74" s="25" t="s">
        <v>243</v>
      </c>
    </row>
    <row r="75" spans="1:7" ht="67.5" x14ac:dyDescent="0.3">
      <c r="A75" s="3">
        <f t="shared" si="2"/>
        <v>74</v>
      </c>
      <c r="B75" s="27" t="s">
        <v>257</v>
      </c>
      <c r="C75" s="35"/>
      <c r="D75" s="3" t="s">
        <v>106</v>
      </c>
      <c r="E75" s="5" t="s">
        <v>107</v>
      </c>
      <c r="F75" s="5" t="s">
        <v>108</v>
      </c>
      <c r="G75" s="25" t="s">
        <v>243</v>
      </c>
    </row>
    <row r="76" spans="1:7" ht="27" x14ac:dyDescent="0.3">
      <c r="A76" s="3">
        <f t="shared" si="2"/>
        <v>75</v>
      </c>
      <c r="B76" s="27" t="s">
        <v>257</v>
      </c>
      <c r="C76" s="35"/>
      <c r="D76" s="35" t="s">
        <v>109</v>
      </c>
      <c r="E76" s="5" t="s">
        <v>110</v>
      </c>
      <c r="F76" s="5" t="s">
        <v>111</v>
      </c>
      <c r="G76" s="25" t="s">
        <v>243</v>
      </c>
    </row>
    <row r="77" spans="1:7" ht="13.5" x14ac:dyDescent="0.3">
      <c r="A77" s="3">
        <f t="shared" si="2"/>
        <v>76</v>
      </c>
      <c r="B77" s="27" t="s">
        <v>257</v>
      </c>
      <c r="C77" s="35"/>
      <c r="D77" s="35"/>
      <c r="E77" s="5" t="s">
        <v>112</v>
      </c>
      <c r="F77" s="5" t="s">
        <v>113</v>
      </c>
      <c r="G77" s="25" t="s">
        <v>243</v>
      </c>
    </row>
    <row r="78" spans="1:7" ht="13.5" x14ac:dyDescent="0.3">
      <c r="A78" s="3">
        <f t="shared" si="2"/>
        <v>77</v>
      </c>
      <c r="B78" s="27" t="s">
        <v>257</v>
      </c>
      <c r="C78" s="35"/>
      <c r="D78" s="35"/>
      <c r="E78" s="5" t="s">
        <v>114</v>
      </c>
      <c r="F78" s="5" t="s">
        <v>115</v>
      </c>
      <c r="G78" s="25" t="s">
        <v>243</v>
      </c>
    </row>
    <row r="79" spans="1:7" ht="13.5" x14ac:dyDescent="0.3">
      <c r="A79" s="3">
        <f t="shared" si="2"/>
        <v>78</v>
      </c>
      <c r="B79" s="27" t="s">
        <v>257</v>
      </c>
      <c r="C79" s="35"/>
      <c r="D79" s="35"/>
      <c r="E79" s="5" t="s">
        <v>116</v>
      </c>
      <c r="F79" s="5" t="s">
        <v>117</v>
      </c>
      <c r="G79" s="25" t="s">
        <v>243</v>
      </c>
    </row>
    <row r="80" spans="1:7" ht="27" x14ac:dyDescent="0.3">
      <c r="A80" s="3">
        <f t="shared" si="2"/>
        <v>79</v>
      </c>
      <c r="B80" s="27" t="s">
        <v>257</v>
      </c>
      <c r="C80" s="35"/>
      <c r="D80" s="35"/>
      <c r="E80" s="5" t="s">
        <v>118</v>
      </c>
      <c r="F80" s="5" t="s">
        <v>119</v>
      </c>
      <c r="G80" s="25" t="s">
        <v>243</v>
      </c>
    </row>
    <row r="81" spans="1:7" ht="13.5" x14ac:dyDescent="0.3">
      <c r="A81" s="3">
        <f t="shared" si="2"/>
        <v>80</v>
      </c>
      <c r="B81" s="27" t="s">
        <v>257</v>
      </c>
      <c r="C81" s="35"/>
      <c r="D81" s="35"/>
      <c r="E81" s="17" t="s">
        <v>120</v>
      </c>
      <c r="F81" s="5" t="s">
        <v>121</v>
      </c>
      <c r="G81" s="25" t="s">
        <v>243</v>
      </c>
    </row>
    <row r="82" spans="1:7" ht="26" x14ac:dyDescent="0.3">
      <c r="A82" s="3">
        <f t="shared" si="2"/>
        <v>81</v>
      </c>
      <c r="B82" s="27" t="s">
        <v>257</v>
      </c>
      <c r="C82" s="35"/>
      <c r="D82" s="35"/>
      <c r="E82" s="9" t="s">
        <v>122</v>
      </c>
      <c r="F82" s="18" t="s">
        <v>123</v>
      </c>
      <c r="G82" s="25" t="s">
        <v>243</v>
      </c>
    </row>
    <row r="83" spans="1:7" ht="27" x14ac:dyDescent="0.3">
      <c r="A83" s="3">
        <f t="shared" si="2"/>
        <v>82</v>
      </c>
      <c r="B83" s="27" t="s">
        <v>257</v>
      </c>
      <c r="C83" s="35"/>
      <c r="D83" s="35"/>
      <c r="E83" s="5" t="s">
        <v>124</v>
      </c>
      <c r="F83" s="5" t="s">
        <v>125</v>
      </c>
      <c r="G83" s="25" t="s">
        <v>243</v>
      </c>
    </row>
    <row r="84" spans="1:7" ht="13.5" x14ac:dyDescent="0.3">
      <c r="A84" s="3">
        <f t="shared" si="2"/>
        <v>83</v>
      </c>
      <c r="B84" s="27" t="s">
        <v>257</v>
      </c>
      <c r="C84" s="35"/>
      <c r="D84" s="35"/>
      <c r="E84" s="19" t="s">
        <v>126</v>
      </c>
      <c r="F84" s="20" t="s">
        <v>127</v>
      </c>
      <c r="G84" s="25" t="s">
        <v>243</v>
      </c>
    </row>
    <row r="85" spans="1:7" ht="27" x14ac:dyDescent="0.3">
      <c r="A85" s="3">
        <f t="shared" si="2"/>
        <v>84</v>
      </c>
      <c r="B85" s="27" t="s">
        <v>257</v>
      </c>
      <c r="C85" s="35"/>
      <c r="D85" s="35"/>
      <c r="E85" s="19" t="s">
        <v>128</v>
      </c>
      <c r="F85" s="20" t="s">
        <v>129</v>
      </c>
      <c r="G85" s="25" t="s">
        <v>243</v>
      </c>
    </row>
    <row r="86" spans="1:7" ht="13.5" x14ac:dyDescent="0.3">
      <c r="A86" s="3">
        <f t="shared" si="2"/>
        <v>85</v>
      </c>
      <c r="B86" s="27" t="s">
        <v>257</v>
      </c>
      <c r="C86" s="35"/>
      <c r="D86" s="35"/>
      <c r="E86" s="19" t="s">
        <v>130</v>
      </c>
      <c r="F86" s="20" t="s">
        <v>131</v>
      </c>
      <c r="G86" s="25" t="s">
        <v>243</v>
      </c>
    </row>
    <row r="87" spans="1:7" ht="13.5" x14ac:dyDescent="0.3">
      <c r="A87" s="3">
        <f t="shared" si="2"/>
        <v>86</v>
      </c>
      <c r="B87" s="27" t="s">
        <v>257</v>
      </c>
      <c r="C87" s="35"/>
      <c r="D87" s="35"/>
      <c r="E87" s="19" t="s">
        <v>109</v>
      </c>
      <c r="F87" s="20"/>
      <c r="G87" s="25" t="s">
        <v>243</v>
      </c>
    </row>
    <row r="88" spans="1:7" ht="40.5" x14ac:dyDescent="0.3">
      <c r="A88" s="3">
        <f t="shared" si="2"/>
        <v>87</v>
      </c>
      <c r="B88" s="27" t="s">
        <v>257</v>
      </c>
      <c r="C88" s="35"/>
      <c r="D88" s="3" t="s">
        <v>132</v>
      </c>
      <c r="E88" s="19" t="s">
        <v>133</v>
      </c>
      <c r="F88" s="20" t="s">
        <v>134</v>
      </c>
      <c r="G88" s="25" t="s">
        <v>243</v>
      </c>
    </row>
    <row r="89" spans="1:7" ht="27" x14ac:dyDescent="0.3">
      <c r="A89" s="3">
        <f t="shared" si="2"/>
        <v>88</v>
      </c>
      <c r="B89" s="27" t="s">
        <v>257</v>
      </c>
      <c r="C89" s="35"/>
      <c r="D89" s="44" t="s">
        <v>135</v>
      </c>
      <c r="E89" s="5" t="s">
        <v>136</v>
      </c>
      <c r="F89" s="5" t="s">
        <v>137</v>
      </c>
      <c r="G89" s="25" t="s">
        <v>243</v>
      </c>
    </row>
    <row r="90" spans="1:7" ht="27" x14ac:dyDescent="0.3">
      <c r="A90" s="3">
        <f t="shared" si="2"/>
        <v>89</v>
      </c>
      <c r="B90" s="27" t="s">
        <v>257</v>
      </c>
      <c r="C90" s="35"/>
      <c r="D90" s="44"/>
      <c r="E90" s="5" t="s">
        <v>138</v>
      </c>
      <c r="F90" s="5" t="s">
        <v>139</v>
      </c>
      <c r="G90" s="25" t="s">
        <v>243</v>
      </c>
    </row>
    <row r="91" spans="1:7" ht="27" x14ac:dyDescent="0.3">
      <c r="A91" s="3">
        <f t="shared" si="3"/>
        <v>90</v>
      </c>
      <c r="B91" s="27" t="s">
        <v>257</v>
      </c>
      <c r="C91" s="35"/>
      <c r="D91" s="44"/>
      <c r="E91" s="5" t="s">
        <v>140</v>
      </c>
      <c r="F91" s="5" t="s">
        <v>141</v>
      </c>
      <c r="G91" s="25" t="s">
        <v>243</v>
      </c>
    </row>
    <row r="92" spans="1:7" ht="40.5" x14ac:dyDescent="0.3">
      <c r="A92" s="3">
        <f t="shared" si="3"/>
        <v>91</v>
      </c>
      <c r="B92" s="27" t="s">
        <v>257</v>
      </c>
      <c r="C92" s="35"/>
      <c r="D92" s="44"/>
      <c r="E92" s="5" t="s">
        <v>142</v>
      </c>
      <c r="F92" s="5" t="s">
        <v>143</v>
      </c>
      <c r="G92" s="25" t="s">
        <v>243</v>
      </c>
    </row>
    <row r="93" spans="1:7" ht="40.5" x14ac:dyDescent="0.3">
      <c r="A93" s="3">
        <f t="shared" si="3"/>
        <v>92</v>
      </c>
      <c r="B93" s="27" t="s">
        <v>257</v>
      </c>
      <c r="C93" s="35"/>
      <c r="D93" s="44"/>
      <c r="E93" s="5" t="s">
        <v>144</v>
      </c>
      <c r="F93" s="5" t="s">
        <v>145</v>
      </c>
      <c r="G93" s="25" t="s">
        <v>243</v>
      </c>
    </row>
    <row r="94" spans="1:7" ht="54" x14ac:dyDescent="0.3">
      <c r="A94" s="3">
        <f t="shared" si="3"/>
        <v>93</v>
      </c>
      <c r="B94" s="27" t="s">
        <v>257</v>
      </c>
      <c r="C94" s="35"/>
      <c r="D94" s="44"/>
      <c r="E94" s="12" t="s">
        <v>146</v>
      </c>
      <c r="F94" s="12" t="s">
        <v>147</v>
      </c>
      <c r="G94" s="25" t="s">
        <v>243</v>
      </c>
    </row>
    <row r="95" spans="1:7" ht="67.5" x14ac:dyDescent="0.3">
      <c r="A95" s="3">
        <f t="shared" si="3"/>
        <v>94</v>
      </c>
      <c r="B95" s="27" t="s">
        <v>257</v>
      </c>
      <c r="C95" s="35"/>
      <c r="D95" s="44"/>
      <c r="E95" s="5" t="s">
        <v>148</v>
      </c>
      <c r="F95" s="5" t="s">
        <v>149</v>
      </c>
      <c r="G95" s="25" t="s">
        <v>243</v>
      </c>
    </row>
    <row r="96" spans="1:7" ht="40.5" x14ac:dyDescent="0.3">
      <c r="A96" s="3">
        <f t="shared" si="3"/>
        <v>95</v>
      </c>
      <c r="B96" s="27" t="s">
        <v>257</v>
      </c>
      <c r="C96" s="35"/>
      <c r="D96" s="35" t="s">
        <v>150</v>
      </c>
      <c r="E96" s="5" t="s">
        <v>151</v>
      </c>
      <c r="F96" s="5" t="s">
        <v>152</v>
      </c>
      <c r="G96" s="25" t="s">
        <v>243</v>
      </c>
    </row>
    <row r="97" spans="1:7" ht="40.5" x14ac:dyDescent="0.3">
      <c r="A97" s="3">
        <f t="shared" si="3"/>
        <v>96</v>
      </c>
      <c r="B97" s="27" t="s">
        <v>257</v>
      </c>
      <c r="C97" s="35"/>
      <c r="D97" s="35"/>
      <c r="E97" s="5" t="s">
        <v>153</v>
      </c>
      <c r="F97" s="5" t="s">
        <v>154</v>
      </c>
      <c r="G97" s="25" t="s">
        <v>243</v>
      </c>
    </row>
    <row r="98" spans="1:7" ht="27" x14ac:dyDescent="0.3">
      <c r="A98" s="3">
        <f t="shared" si="3"/>
        <v>97</v>
      </c>
      <c r="B98" s="27" t="s">
        <v>257</v>
      </c>
      <c r="C98" s="35"/>
      <c r="D98" s="35"/>
      <c r="E98" s="5" t="s">
        <v>155</v>
      </c>
      <c r="F98" s="5" t="s">
        <v>156</v>
      </c>
      <c r="G98" s="25" t="s">
        <v>243</v>
      </c>
    </row>
    <row r="99" spans="1:7" ht="40.5" x14ac:dyDescent="0.3">
      <c r="A99" s="3">
        <f t="shared" si="3"/>
        <v>98</v>
      </c>
      <c r="B99" s="27" t="s">
        <v>257</v>
      </c>
      <c r="C99" s="35"/>
      <c r="D99" s="35"/>
      <c r="E99" s="5" t="s">
        <v>157</v>
      </c>
      <c r="F99" s="5" t="s">
        <v>158</v>
      </c>
      <c r="G99" s="25" t="s">
        <v>243</v>
      </c>
    </row>
    <row r="100" spans="1:7" ht="27" x14ac:dyDescent="0.3">
      <c r="A100" s="3">
        <f t="shared" si="3"/>
        <v>99</v>
      </c>
      <c r="B100" s="27" t="s">
        <v>257</v>
      </c>
      <c r="C100" s="35"/>
      <c r="D100" s="3" t="s">
        <v>159</v>
      </c>
      <c r="E100" s="5" t="s">
        <v>160</v>
      </c>
      <c r="F100" s="5" t="s">
        <v>161</v>
      </c>
      <c r="G100" s="25" t="s">
        <v>243</v>
      </c>
    </row>
    <row r="101" spans="1:7" ht="13.5" x14ac:dyDescent="0.3">
      <c r="A101" s="3">
        <f t="shared" si="3"/>
        <v>100</v>
      </c>
      <c r="B101" s="27" t="s">
        <v>257</v>
      </c>
      <c r="C101" s="35"/>
      <c r="D101" s="3" t="s">
        <v>162</v>
      </c>
      <c r="E101" s="5" t="s">
        <v>59</v>
      </c>
      <c r="F101" s="5" t="s">
        <v>163</v>
      </c>
      <c r="G101" s="25" t="s">
        <v>243</v>
      </c>
    </row>
    <row r="102" spans="1:7" ht="13.5" x14ac:dyDescent="0.3">
      <c r="A102" s="3">
        <f t="shared" si="3"/>
        <v>101</v>
      </c>
      <c r="B102" s="27" t="s">
        <v>257</v>
      </c>
      <c r="C102" s="39" t="s">
        <v>265</v>
      </c>
      <c r="D102" s="45" t="s">
        <v>164</v>
      </c>
      <c r="E102" s="21" t="s">
        <v>165</v>
      </c>
      <c r="F102" s="21" t="s">
        <v>166</v>
      </c>
      <c r="G102" s="25" t="s">
        <v>243</v>
      </c>
    </row>
    <row r="103" spans="1:7" ht="27" x14ac:dyDescent="0.3">
      <c r="A103" s="3">
        <f t="shared" si="3"/>
        <v>102</v>
      </c>
      <c r="B103" s="27" t="s">
        <v>257</v>
      </c>
      <c r="C103" s="35"/>
      <c r="D103" s="45"/>
      <c r="E103" s="21" t="s">
        <v>167</v>
      </c>
      <c r="F103" s="21" t="s">
        <v>168</v>
      </c>
      <c r="G103" s="25" t="s">
        <v>243</v>
      </c>
    </row>
    <row r="104" spans="1:7" ht="13.5" x14ac:dyDescent="0.3">
      <c r="A104" s="3">
        <f t="shared" si="3"/>
        <v>103</v>
      </c>
      <c r="B104" s="27" t="s">
        <v>257</v>
      </c>
      <c r="C104" s="35"/>
      <c r="D104" s="45"/>
      <c r="E104" s="21" t="s">
        <v>169</v>
      </c>
      <c r="F104" s="21" t="s">
        <v>170</v>
      </c>
      <c r="G104" s="25" t="s">
        <v>243</v>
      </c>
    </row>
    <row r="105" spans="1:7" ht="40.5" x14ac:dyDescent="0.3">
      <c r="A105" s="3">
        <f t="shared" si="3"/>
        <v>104</v>
      </c>
      <c r="B105" s="27" t="s">
        <v>257</v>
      </c>
      <c r="C105" s="35"/>
      <c r="D105" s="35" t="s">
        <v>171</v>
      </c>
      <c r="E105" s="21" t="s">
        <v>172</v>
      </c>
      <c r="F105" s="21" t="s">
        <v>173</v>
      </c>
      <c r="G105" s="25" t="s">
        <v>243</v>
      </c>
    </row>
    <row r="106" spans="1:7" ht="13.5" x14ac:dyDescent="0.3">
      <c r="A106" s="3">
        <f t="shared" si="3"/>
        <v>105</v>
      </c>
      <c r="B106" s="27" t="s">
        <v>257</v>
      </c>
      <c r="C106" s="35"/>
      <c r="D106" s="35"/>
      <c r="E106" s="5" t="s">
        <v>174</v>
      </c>
      <c r="F106" s="14"/>
      <c r="G106" s="25" t="s">
        <v>243</v>
      </c>
    </row>
    <row r="107" spans="1:7" ht="27" x14ac:dyDescent="0.3">
      <c r="A107" s="3">
        <f t="shared" si="3"/>
        <v>106</v>
      </c>
      <c r="B107" s="27" t="s">
        <v>257</v>
      </c>
      <c r="C107" s="35"/>
      <c r="D107" s="35" t="s">
        <v>175</v>
      </c>
      <c r="E107" s="21" t="s">
        <v>176</v>
      </c>
      <c r="F107" s="21" t="s">
        <v>177</v>
      </c>
      <c r="G107" s="25" t="s">
        <v>243</v>
      </c>
    </row>
    <row r="108" spans="1:7" ht="13.5" x14ac:dyDescent="0.3">
      <c r="A108" s="3">
        <f t="shared" si="3"/>
        <v>107</v>
      </c>
      <c r="B108" s="27" t="s">
        <v>257</v>
      </c>
      <c r="C108" s="35"/>
      <c r="D108" s="35"/>
      <c r="E108" s="21" t="s">
        <v>178</v>
      </c>
      <c r="F108" s="21" t="s">
        <v>179</v>
      </c>
      <c r="G108" s="25" t="s">
        <v>243</v>
      </c>
    </row>
    <row r="109" spans="1:7" ht="13.5" x14ac:dyDescent="0.3">
      <c r="A109" s="3">
        <f t="shared" si="3"/>
        <v>108</v>
      </c>
      <c r="B109" s="27" t="s">
        <v>257</v>
      </c>
      <c r="C109" s="35"/>
      <c r="D109" s="35"/>
      <c r="E109" s="5" t="s">
        <v>180</v>
      </c>
      <c r="F109" s="14"/>
      <c r="G109" s="25" t="s">
        <v>243</v>
      </c>
    </row>
    <row r="110" spans="1:7" ht="13.5" x14ac:dyDescent="0.3">
      <c r="A110" s="3">
        <f t="shared" si="3"/>
        <v>109</v>
      </c>
      <c r="B110" s="27" t="s">
        <v>257</v>
      </c>
      <c r="C110" s="35"/>
      <c r="D110" s="35" t="s">
        <v>181</v>
      </c>
      <c r="E110" s="21" t="s">
        <v>182</v>
      </c>
      <c r="F110" s="21" t="s">
        <v>183</v>
      </c>
      <c r="G110" s="25" t="s">
        <v>243</v>
      </c>
    </row>
    <row r="111" spans="1:7" ht="13.5" x14ac:dyDescent="0.3">
      <c r="A111" s="3">
        <f t="shared" si="3"/>
        <v>110</v>
      </c>
      <c r="B111" s="27" t="s">
        <v>257</v>
      </c>
      <c r="C111" s="35"/>
      <c r="D111" s="35"/>
      <c r="E111" s="5" t="s">
        <v>184</v>
      </c>
      <c r="F111" s="14"/>
      <c r="G111" s="25" t="s">
        <v>243</v>
      </c>
    </row>
    <row r="112" spans="1:7" ht="13.5" x14ac:dyDescent="0.3">
      <c r="A112" s="3">
        <f t="shared" si="0"/>
        <v>111</v>
      </c>
      <c r="B112" s="27" t="s">
        <v>258</v>
      </c>
      <c r="C112" s="35" t="s">
        <v>203</v>
      </c>
      <c r="D112" s="3" t="s">
        <v>204</v>
      </c>
      <c r="E112" s="5" t="s">
        <v>204</v>
      </c>
      <c r="F112" s="5" t="s">
        <v>205</v>
      </c>
      <c r="G112" s="25" t="s">
        <v>243</v>
      </c>
    </row>
    <row r="113" spans="1:7" ht="13.5" x14ac:dyDescent="0.3">
      <c r="A113" s="3">
        <f t="shared" si="0"/>
        <v>112</v>
      </c>
      <c r="B113" s="27" t="s">
        <v>258</v>
      </c>
      <c r="C113" s="35"/>
      <c r="D113" s="35" t="s">
        <v>206</v>
      </c>
      <c r="E113" s="5" t="s">
        <v>207</v>
      </c>
      <c r="F113" s="5"/>
      <c r="G113" s="25" t="s">
        <v>243</v>
      </c>
    </row>
    <row r="114" spans="1:7" ht="13.5" x14ac:dyDescent="0.3">
      <c r="A114" s="3">
        <f t="shared" si="0"/>
        <v>113</v>
      </c>
      <c r="B114" s="27" t="s">
        <v>257</v>
      </c>
      <c r="C114" s="35"/>
      <c r="D114" s="35"/>
      <c r="E114" s="5" t="s">
        <v>208</v>
      </c>
      <c r="F114" s="5" t="s">
        <v>209</v>
      </c>
      <c r="G114" s="25" t="s">
        <v>243</v>
      </c>
    </row>
    <row r="115" spans="1:7" ht="27" x14ac:dyDescent="0.3">
      <c r="A115" s="3">
        <f t="shared" si="2"/>
        <v>114</v>
      </c>
      <c r="B115" s="27" t="s">
        <v>256</v>
      </c>
      <c r="C115" s="36" t="s">
        <v>36</v>
      </c>
      <c r="D115" s="39" t="s">
        <v>261</v>
      </c>
      <c r="E115" s="15" t="s">
        <v>74</v>
      </c>
      <c r="F115" s="12" t="s">
        <v>75</v>
      </c>
      <c r="G115" s="25" t="s">
        <v>243</v>
      </c>
    </row>
    <row r="116" spans="1:7" ht="27" x14ac:dyDescent="0.3">
      <c r="A116" s="3">
        <f t="shared" si="2"/>
        <v>115</v>
      </c>
      <c r="B116" s="27" t="s">
        <v>256</v>
      </c>
      <c r="C116" s="37"/>
      <c r="D116" s="35"/>
      <c r="E116" s="12" t="s">
        <v>76</v>
      </c>
      <c r="F116" s="12" t="s">
        <v>77</v>
      </c>
      <c r="G116" s="25" t="s">
        <v>243</v>
      </c>
    </row>
    <row r="117" spans="1:7" ht="13.5" x14ac:dyDescent="0.3">
      <c r="A117" s="3">
        <f t="shared" si="2"/>
        <v>116</v>
      </c>
      <c r="B117" s="27" t="s">
        <v>255</v>
      </c>
      <c r="C117" s="37"/>
      <c r="D117" s="35"/>
      <c r="E117" s="12" t="s">
        <v>78</v>
      </c>
      <c r="F117" s="12" t="s">
        <v>79</v>
      </c>
      <c r="G117" s="25" t="s">
        <v>243</v>
      </c>
    </row>
    <row r="118" spans="1:7" ht="13.5" x14ac:dyDescent="0.3">
      <c r="A118" s="3">
        <f t="shared" si="2"/>
        <v>117</v>
      </c>
      <c r="B118" s="27" t="s">
        <v>255</v>
      </c>
      <c r="C118" s="37"/>
      <c r="D118" s="35"/>
      <c r="E118" s="12" t="s">
        <v>80</v>
      </c>
      <c r="F118" s="12" t="s">
        <v>81</v>
      </c>
      <c r="G118" s="25" t="s">
        <v>243</v>
      </c>
    </row>
    <row r="119" spans="1:7" ht="13.5" x14ac:dyDescent="0.3">
      <c r="A119" s="3">
        <f t="shared" si="2"/>
        <v>118</v>
      </c>
      <c r="B119" s="27" t="s">
        <v>255</v>
      </c>
      <c r="C119" s="37"/>
      <c r="D119" s="35"/>
      <c r="E119" s="12" t="s">
        <v>82</v>
      </c>
      <c r="F119" s="12" t="s">
        <v>83</v>
      </c>
      <c r="G119" s="25" t="s">
        <v>243</v>
      </c>
    </row>
    <row r="120" spans="1:7" ht="13.5" x14ac:dyDescent="0.3">
      <c r="A120" s="3">
        <f t="shared" si="2"/>
        <v>119</v>
      </c>
      <c r="B120" s="27" t="s">
        <v>255</v>
      </c>
      <c r="C120" s="38"/>
      <c r="D120" s="35"/>
      <c r="E120" s="12" t="s">
        <v>84</v>
      </c>
      <c r="F120" s="12" t="s">
        <v>85</v>
      </c>
      <c r="G120" s="25" t="s">
        <v>243</v>
      </c>
    </row>
  </sheetData>
  <autoFilter ref="A1:G15" xr:uid="{00000000-0001-0000-0000-000000000000}"/>
  <mergeCells count="36">
    <mergeCell ref="C115:C120"/>
    <mergeCell ref="C25:C27"/>
    <mergeCell ref="C16:C24"/>
    <mergeCell ref="D23:D24"/>
    <mergeCell ref="D16:D22"/>
    <mergeCell ref="D115:D120"/>
    <mergeCell ref="D28:D32"/>
    <mergeCell ref="D76:D87"/>
    <mergeCell ref="D33:D43"/>
    <mergeCell ref="D44:D51"/>
    <mergeCell ref="D89:D95"/>
    <mergeCell ref="C112:C114"/>
    <mergeCell ref="D113:D114"/>
    <mergeCell ref="D2:D7"/>
    <mergeCell ref="C2:C7"/>
    <mergeCell ref="C69:C101"/>
    <mergeCell ref="D96:D99"/>
    <mergeCell ref="D69:D74"/>
    <mergeCell ref="D25:D26"/>
    <mergeCell ref="C28:C51"/>
    <mergeCell ref="C8:C15"/>
    <mergeCell ref="D13:D15"/>
    <mergeCell ref="D11:D12"/>
    <mergeCell ref="D8:D10"/>
    <mergeCell ref="D62:D68"/>
    <mergeCell ref="C62:C68"/>
    <mergeCell ref="C52:C61"/>
    <mergeCell ref="D60:D61"/>
    <mergeCell ref="C102:C111"/>
    <mergeCell ref="D55:D56"/>
    <mergeCell ref="D52:D54"/>
    <mergeCell ref="D110:D111"/>
    <mergeCell ref="D107:D109"/>
    <mergeCell ref="D102:D104"/>
    <mergeCell ref="D105:D106"/>
    <mergeCell ref="D57:D59"/>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DFS 12月版本功能清单</vt:lpstr>
      <vt:lpstr>DFS目前功能清单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Wenhua Zhang</dc:creator>
  <cp:lastModifiedBy>qianxiao zhang</cp:lastModifiedBy>
  <dcterms:created xsi:type="dcterms:W3CDTF">2024-10-28T09:16:45Z</dcterms:created>
  <dcterms:modified xsi:type="dcterms:W3CDTF">2024-11-06T02:55:00Z</dcterms:modified>
</cp:coreProperties>
</file>