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E:\01-Project\01项目集\16-华北航线\03-过程文档\01-项目启动\"/>
    </mc:Choice>
  </mc:AlternateContent>
  <xr:revisionPtr revIDLastSave="0" documentId="13_ncr:1_{342E0938-0D89-4D8B-9B4D-44A228D4CB36}" xr6:coauthVersionLast="47" xr6:coauthVersionMax="47" xr10:uidLastSave="{00000000-0000-0000-0000-000000000000}"/>
  <bookViews>
    <workbookView xWindow="22932" yWindow="-108" windowWidth="30936" windowHeight="16896" activeTab="1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Sheet1!$A$1:$K$42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" l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  <c r="B8" i="2"/>
  <c r="B7" i="2"/>
</calcChain>
</file>

<file path=xl/sharedStrings.xml><?xml version="1.0" encoding="utf-8"?>
<sst xmlns="http://schemas.openxmlformats.org/spreadsheetml/2006/main" count="338" uniqueCount="57">
  <si>
    <t>项目名称</t>
  </si>
  <si>
    <t>求和项:合计金额</t>
  </si>
  <si>
    <t>（Ameco-华北航线）华北航线中心科技</t>
  </si>
  <si>
    <t>总计</t>
  </si>
  <si>
    <t>部门名称</t>
  </si>
  <si>
    <t>部门编码</t>
  </si>
  <si>
    <t>姓名</t>
  </si>
  <si>
    <t>合同编号/销售机会编号/项目名称</t>
  </si>
  <si>
    <t>任务名称</t>
  </si>
  <si>
    <t>产品名称</t>
  </si>
  <si>
    <t>投入工时(消耗功工时)</t>
  </si>
  <si>
    <t>单价</t>
  </si>
  <si>
    <t>合计金额</t>
  </si>
  <si>
    <t>Java组</t>
  </si>
  <si>
    <t>刘寿光</t>
  </si>
  <si>
    <t>CN012501001</t>
  </si>
  <si>
    <t>现场汇报及需求沟通相关</t>
  </si>
  <si>
    <t>【产品】基础功能开发</t>
  </si>
  <si>
    <t>华北航线技术验证相关</t>
  </si>
  <si>
    <t>需求讲解及内部沟通</t>
  </si>
  <si>
    <t>需求梳理及研讨</t>
  </si>
  <si>
    <t>项目外包大模型范围说明文档编写</t>
  </si>
  <si>
    <t>售前技术研究</t>
  </si>
  <si>
    <t>xuyangma</t>
  </si>
  <si>
    <t>Web组</t>
  </si>
  <si>
    <t>张晓伟</t>
  </si>
  <si>
    <t>袁增丁</t>
  </si>
  <si>
    <t>产品部</t>
  </si>
  <si>
    <t>张千晓</t>
  </si>
  <si>
    <t>李玄正</t>
  </si>
  <si>
    <t>华北航线-业务梳理-PRD编写-需求设计</t>
  </si>
  <si>
    <t>美术部</t>
  </si>
  <si>
    <t>徐思茂</t>
  </si>
  <si>
    <t>质量保证部</t>
  </si>
  <si>
    <t>安付伟</t>
  </si>
  <si>
    <t>华北航线初版程序测试</t>
  </si>
  <si>
    <t>讨论并梳理项目需求，明确测试边界</t>
  </si>
  <si>
    <t>王志国</t>
  </si>
  <si>
    <t>运维部</t>
  </si>
  <si>
    <t>杜金辉</t>
  </si>
  <si>
    <t>MAC测试环境部署及相关</t>
  </si>
  <si>
    <t>项目组</t>
  </si>
  <si>
    <t>赵世豪</t>
  </si>
  <si>
    <t>现场汇报及相关内容</t>
  </si>
  <si>
    <t>售前项目评审及外包巡检相关</t>
  </si>
  <si>
    <t>项目内外部启动及相关</t>
  </si>
  <si>
    <t>合同相关</t>
  </si>
  <si>
    <t>私有化部署及相关</t>
  </si>
  <si>
    <t>跟进项目进度</t>
  </si>
  <si>
    <t>成本归集</t>
    <phoneticPr fontId="2" type="noConversion"/>
  </si>
  <si>
    <t>项目</t>
    <phoneticPr fontId="2" type="noConversion"/>
  </si>
  <si>
    <t>产品</t>
    <phoneticPr fontId="2" type="noConversion"/>
  </si>
  <si>
    <t>产品</t>
    <phoneticPr fontId="2" type="noConversion"/>
  </si>
  <si>
    <t>项目</t>
    <phoneticPr fontId="2" type="noConversion"/>
  </si>
  <si>
    <t>审结管理-维修执行完成，进入审结管理里中的该条维修详情，无法查看步骤记录，接口报错，如图</t>
    <phoneticPr fontId="2" type="noConversion"/>
  </si>
  <si>
    <t>方案管理-搜索-搜索弹窗上设置搜索条件，点击重置按钮，弹窗上的搜索条件没有置空</t>
    <phoneticPr fontId="2" type="noConversion"/>
  </si>
  <si>
    <t>假设产品项目4:6，成本占比情况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</si>
</sst>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4" fillId="0" borderId="1" xfId="0" applyFont="1" applyBorder="1"/>
  </cellXfs>
  <cellStyles count="1">
    <cellStyle name="常规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&#21830;&#35810;&#31185;&#25216;\rate%20card\&#39033;&#30446;&#25253;&#20215;-&#25104;&#26412;&#31471;-1227%20all%20&#12304;%20from%20&#36130;&#21153;&#12305;-&#12304;&#30446;&#21069;&#32456;&#29256;&#12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报价"/>
      <sheetName val="成本报价 -6月26日版本"/>
      <sheetName val="成本报价-日本"/>
      <sheetName val="成本报价-新加坡"/>
      <sheetName val="成本报价-台币"/>
      <sheetName val="概算-结算"/>
      <sheetName val="人员表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D1" t="str">
            <v>姓名</v>
          </cell>
          <cell r="E1" t="str">
            <v>岗位</v>
          </cell>
          <cell r="F1" t="str">
            <v>等级评定</v>
          </cell>
          <cell r="G1" t="str">
            <v>单价</v>
          </cell>
        </row>
        <row r="2">
          <cell r="D2" t="str">
            <v>侯琳</v>
          </cell>
          <cell r="E2" t="str">
            <v>Release专员</v>
          </cell>
          <cell r="F2" t="str">
            <v>初级</v>
          </cell>
        </row>
        <row r="3">
          <cell r="D3" t="str">
            <v>乔静</v>
          </cell>
          <cell r="E3" t="str">
            <v>Release Manager</v>
          </cell>
          <cell r="F3" t="str">
            <v>高级</v>
          </cell>
        </row>
        <row r="4">
          <cell r="D4" t="str">
            <v>李沛宣</v>
          </cell>
          <cell r="E4" t="str">
            <v>产品经理</v>
          </cell>
          <cell r="F4" t="str">
            <v>初级</v>
          </cell>
          <cell r="G4">
            <v>1200</v>
          </cell>
        </row>
        <row r="5">
          <cell r="D5" t="str">
            <v>张千晓</v>
          </cell>
          <cell r="E5" t="str">
            <v>产品经理</v>
          </cell>
          <cell r="F5" t="str">
            <v>初级</v>
          </cell>
          <cell r="G5">
            <v>1200</v>
          </cell>
        </row>
        <row r="6">
          <cell r="D6" t="str">
            <v>郭远娇</v>
          </cell>
          <cell r="E6" t="str">
            <v>UI设计师</v>
          </cell>
          <cell r="F6" t="str">
            <v>初级</v>
          </cell>
          <cell r="G6">
            <v>1200</v>
          </cell>
        </row>
        <row r="7">
          <cell r="D7" t="str">
            <v>罗智俊</v>
          </cell>
          <cell r="E7" t="str">
            <v>产品经理</v>
          </cell>
          <cell r="F7" t="str">
            <v>中级</v>
          </cell>
          <cell r="G7">
            <v>1500</v>
          </cell>
        </row>
        <row r="8">
          <cell r="D8" t="str">
            <v>张文华</v>
          </cell>
          <cell r="E8" t="str">
            <v>产品总监</v>
          </cell>
          <cell r="F8" t="str">
            <v>高级</v>
          </cell>
          <cell r="G8">
            <v>2100</v>
          </cell>
        </row>
        <row r="9">
          <cell r="D9" t="str">
            <v>吴楠</v>
          </cell>
          <cell r="E9" t="str">
            <v>Python开发工程师</v>
          </cell>
          <cell r="F9" t="str">
            <v>初级</v>
          </cell>
          <cell r="G9">
            <v>1400</v>
          </cell>
        </row>
        <row r="10">
          <cell r="D10" t="str">
            <v>袁增丁</v>
          </cell>
          <cell r="E10" t="str">
            <v>前端开发工程师</v>
          </cell>
          <cell r="F10" t="str">
            <v>初级</v>
          </cell>
          <cell r="G10">
            <v>1200</v>
          </cell>
        </row>
        <row r="11">
          <cell r="D11" t="str">
            <v>苏琦</v>
          </cell>
          <cell r="E11" t="str">
            <v>Python开发工程师</v>
          </cell>
          <cell r="F11" t="str">
            <v>初级</v>
          </cell>
          <cell r="G11">
            <v>1400</v>
          </cell>
        </row>
        <row r="12">
          <cell r="D12" t="str">
            <v>张政</v>
          </cell>
          <cell r="E12" t="str">
            <v>前端开发工程师</v>
          </cell>
          <cell r="F12" t="str">
            <v>中级</v>
          </cell>
          <cell r="G12">
            <v>1400</v>
          </cell>
        </row>
        <row r="13">
          <cell r="D13" t="str">
            <v>高来贺</v>
          </cell>
          <cell r="E13" t="str">
            <v>前端开发工程师</v>
          </cell>
          <cell r="F13" t="str">
            <v>中级</v>
          </cell>
          <cell r="G13">
            <v>1400</v>
          </cell>
        </row>
        <row r="14">
          <cell r="D14" t="str">
            <v>吴子琎</v>
          </cell>
          <cell r="E14" t="str">
            <v>Java开发工程师</v>
          </cell>
          <cell r="F14" t="str">
            <v>中级</v>
          </cell>
          <cell r="G14">
            <v>1800</v>
          </cell>
        </row>
        <row r="15">
          <cell r="D15" t="str">
            <v>沈伟</v>
          </cell>
          <cell r="E15" t="str">
            <v>Java开发工程师</v>
          </cell>
          <cell r="F15" t="str">
            <v>中级</v>
          </cell>
          <cell r="G15">
            <v>1800</v>
          </cell>
        </row>
        <row r="16">
          <cell r="D16" t="str">
            <v>刘寿光</v>
          </cell>
          <cell r="E16" t="str">
            <v>Java开发工程师</v>
          </cell>
          <cell r="F16" t="str">
            <v>中级</v>
          </cell>
          <cell r="G16">
            <v>1800</v>
          </cell>
        </row>
        <row r="17">
          <cell r="D17" t="str">
            <v>范旭斌</v>
          </cell>
          <cell r="E17" t="str">
            <v>Java开发工程师</v>
          </cell>
          <cell r="F17" t="str">
            <v>中级</v>
          </cell>
          <cell r="G17">
            <v>1800</v>
          </cell>
        </row>
        <row r="18">
          <cell r="D18" t="str">
            <v>郭吉善</v>
          </cell>
          <cell r="E18" t="str">
            <v>Java开发工程师</v>
          </cell>
          <cell r="F18" t="str">
            <v>中级</v>
          </cell>
          <cell r="G18">
            <v>1800</v>
          </cell>
        </row>
        <row r="19">
          <cell r="D19" t="str">
            <v>张晓伟</v>
          </cell>
          <cell r="E19" t="str">
            <v>资深前端开发工程师</v>
          </cell>
          <cell r="F19" t="str">
            <v>高级</v>
          </cell>
          <cell r="G19">
            <v>2300</v>
          </cell>
        </row>
        <row r="20">
          <cell r="D20" t="str">
            <v>葛强</v>
          </cell>
          <cell r="E20" t="str">
            <v>资深Java开发工程师</v>
          </cell>
          <cell r="F20" t="str">
            <v>高级</v>
          </cell>
          <cell r="G20">
            <v>2200</v>
          </cell>
        </row>
        <row r="21">
          <cell r="D21" t="str">
            <v>陆芳</v>
          </cell>
          <cell r="E21" t="str">
            <v>实习执行策划专员</v>
          </cell>
          <cell r="F21" t="str">
            <v>初级</v>
          </cell>
          <cell r="G21">
            <v>1000</v>
          </cell>
        </row>
        <row r="22">
          <cell r="D22" t="str">
            <v>李玉桥</v>
          </cell>
          <cell r="E22" t="str">
            <v>执行策划专员</v>
          </cell>
          <cell r="F22" t="str">
            <v>初级</v>
          </cell>
          <cell r="G22">
            <v>1000</v>
          </cell>
        </row>
        <row r="23">
          <cell r="D23" t="str">
            <v>马文君</v>
          </cell>
          <cell r="E23" t="str">
            <v>执行策划专员</v>
          </cell>
          <cell r="F23" t="str">
            <v>初级</v>
          </cell>
          <cell r="G23">
            <v>1000</v>
          </cell>
        </row>
        <row r="24">
          <cell r="D24" t="str">
            <v>王琰</v>
          </cell>
          <cell r="E24" t="str">
            <v>客户成功经理</v>
          </cell>
          <cell r="F24" t="str">
            <v>中级</v>
          </cell>
          <cell r="G24">
            <v>1200</v>
          </cell>
        </row>
        <row r="25">
          <cell r="D25" t="str">
            <v>刘冰</v>
          </cell>
          <cell r="E25" t="str">
            <v>U3D开发工程师</v>
          </cell>
          <cell r="F25" t="str">
            <v>初级</v>
          </cell>
          <cell r="G25">
            <v>1200</v>
          </cell>
        </row>
        <row r="26">
          <cell r="D26" t="str">
            <v>刘佳利</v>
          </cell>
          <cell r="E26" t="str">
            <v>U3D开发工程师</v>
          </cell>
          <cell r="F26" t="str">
            <v>初级</v>
          </cell>
          <cell r="G26">
            <v>1200</v>
          </cell>
        </row>
        <row r="27">
          <cell r="D27" t="str">
            <v>安建彬</v>
          </cell>
          <cell r="E27" t="str">
            <v>U3D开发工程师</v>
          </cell>
          <cell r="F27" t="str">
            <v>初级</v>
          </cell>
          <cell r="G27">
            <v>1200</v>
          </cell>
        </row>
        <row r="28">
          <cell r="D28" t="str">
            <v>黄仲</v>
          </cell>
          <cell r="E28" t="str">
            <v>U3D开发工程师</v>
          </cell>
          <cell r="F28" t="str">
            <v>初级</v>
          </cell>
          <cell r="G28">
            <v>1200</v>
          </cell>
        </row>
        <row r="29">
          <cell r="D29" t="str">
            <v>包心蕊</v>
          </cell>
          <cell r="E29" t="str">
            <v>U3D开发工程师</v>
          </cell>
          <cell r="F29" t="str">
            <v>中级</v>
          </cell>
          <cell r="G29">
            <v>1400</v>
          </cell>
        </row>
        <row r="30">
          <cell r="D30" t="str">
            <v>林立峰</v>
          </cell>
          <cell r="E30" t="str">
            <v>U3D开发工程师</v>
          </cell>
          <cell r="F30" t="str">
            <v>中级</v>
          </cell>
          <cell r="G30">
            <v>1400</v>
          </cell>
        </row>
        <row r="31">
          <cell r="D31" t="str">
            <v>郭丹</v>
          </cell>
          <cell r="E31" t="str">
            <v>U3D开发工程师</v>
          </cell>
          <cell r="F31" t="str">
            <v>中级</v>
          </cell>
          <cell r="G31">
            <v>1400</v>
          </cell>
        </row>
        <row r="32">
          <cell r="D32" t="str">
            <v>陈安达</v>
          </cell>
          <cell r="E32" t="str">
            <v>U3D开发工程师</v>
          </cell>
          <cell r="F32" t="str">
            <v>中级</v>
          </cell>
          <cell r="G32">
            <v>1400</v>
          </cell>
        </row>
        <row r="33">
          <cell r="D33" t="str">
            <v>冯文颂</v>
          </cell>
          <cell r="E33" t="str">
            <v>U3D开发工程师</v>
          </cell>
          <cell r="F33" t="str">
            <v>中级</v>
          </cell>
          <cell r="G33">
            <v>1400</v>
          </cell>
        </row>
        <row r="34">
          <cell r="D34" t="str">
            <v>王益安</v>
          </cell>
          <cell r="E34" t="str">
            <v>U3D开发工程师</v>
          </cell>
          <cell r="F34" t="str">
            <v>中级</v>
          </cell>
          <cell r="G34">
            <v>1400</v>
          </cell>
        </row>
        <row r="35">
          <cell r="D35" t="str">
            <v>高爽</v>
          </cell>
          <cell r="E35" t="str">
            <v>资深U3D开发工程师</v>
          </cell>
          <cell r="F35" t="str">
            <v>中级</v>
          </cell>
          <cell r="G35">
            <v>1400</v>
          </cell>
        </row>
        <row r="36">
          <cell r="D36" t="str">
            <v>刘建昕</v>
          </cell>
          <cell r="E36" t="str">
            <v>资深U3D开发工程师</v>
          </cell>
          <cell r="F36" t="str">
            <v>中级</v>
          </cell>
          <cell r="G36">
            <v>1400</v>
          </cell>
        </row>
        <row r="37">
          <cell r="D37" t="str">
            <v>王剑</v>
          </cell>
          <cell r="E37" t="str">
            <v>资深U3D开发工程师</v>
          </cell>
          <cell r="F37" t="str">
            <v>高级</v>
          </cell>
          <cell r="G37">
            <v>2100</v>
          </cell>
        </row>
        <row r="38">
          <cell r="D38" t="str">
            <v>高梓阳</v>
          </cell>
          <cell r="E38" t="str">
            <v>3D美术</v>
          </cell>
          <cell r="F38" t="str">
            <v>初级</v>
          </cell>
          <cell r="G38">
            <v>1000</v>
          </cell>
        </row>
        <row r="39">
          <cell r="D39" t="str">
            <v>王奥民</v>
          </cell>
          <cell r="E39" t="str">
            <v>3D美术</v>
          </cell>
          <cell r="F39" t="str">
            <v>初级</v>
          </cell>
          <cell r="G39">
            <v>1000</v>
          </cell>
        </row>
        <row r="40">
          <cell r="D40" t="str">
            <v>孟刚</v>
          </cell>
          <cell r="E40" t="str">
            <v>3D美术</v>
          </cell>
          <cell r="F40" t="str">
            <v>中级</v>
          </cell>
          <cell r="G40">
            <v>1400</v>
          </cell>
        </row>
        <row r="41">
          <cell r="D41" t="str">
            <v>李梦晨</v>
          </cell>
          <cell r="E41" t="str">
            <v>3D美术</v>
          </cell>
          <cell r="F41" t="str">
            <v>中级</v>
          </cell>
          <cell r="G41">
            <v>1400</v>
          </cell>
        </row>
        <row r="42">
          <cell r="D42" t="str">
            <v>刘蕾</v>
          </cell>
          <cell r="E42" t="str">
            <v>美术经理</v>
          </cell>
          <cell r="F42" t="str">
            <v>高级</v>
          </cell>
          <cell r="G42">
            <v>2200</v>
          </cell>
        </row>
        <row r="43">
          <cell r="D43" t="str">
            <v>朱建祥</v>
          </cell>
          <cell r="E43" t="str">
            <v>研发总监</v>
          </cell>
          <cell r="F43" t="str">
            <v>高级</v>
          </cell>
          <cell r="G43">
            <v>2400</v>
          </cell>
        </row>
        <row r="44">
          <cell r="D44" t="str">
            <v>高瑜</v>
          </cell>
          <cell r="E44" t="str">
            <v>IT桌面工程师</v>
          </cell>
          <cell r="F44" t="str">
            <v>初级</v>
          </cell>
          <cell r="G44">
            <v>1400</v>
          </cell>
        </row>
        <row r="45">
          <cell r="D45" t="str">
            <v>梁敏</v>
          </cell>
          <cell r="E45" t="str">
            <v>运维工程师</v>
          </cell>
          <cell r="F45" t="str">
            <v>初级</v>
          </cell>
          <cell r="G45">
            <v>1400</v>
          </cell>
        </row>
        <row r="46">
          <cell r="D46" t="str">
            <v>杜金辉</v>
          </cell>
          <cell r="E46" t="str">
            <v>运维工程师</v>
          </cell>
          <cell r="F46" t="str">
            <v>中级</v>
          </cell>
          <cell r="G46">
            <v>1600</v>
          </cell>
        </row>
        <row r="47">
          <cell r="D47" t="str">
            <v>李泽明</v>
          </cell>
          <cell r="E47" t="str">
            <v>运维经理</v>
          </cell>
          <cell r="F47" t="str">
            <v>高级</v>
          </cell>
          <cell r="G47">
            <v>2000</v>
          </cell>
        </row>
        <row r="48">
          <cell r="D48" t="str">
            <v>张楠</v>
          </cell>
          <cell r="E48" t="str">
            <v>测试工程师</v>
          </cell>
          <cell r="F48" t="str">
            <v>初级</v>
          </cell>
          <cell r="G48">
            <v>800</v>
          </cell>
        </row>
        <row r="49">
          <cell r="D49" t="str">
            <v>蒋晔雨</v>
          </cell>
          <cell r="E49" t="str">
            <v>测试工程师</v>
          </cell>
          <cell r="F49" t="str">
            <v>初级</v>
          </cell>
          <cell r="G49">
            <v>800</v>
          </cell>
        </row>
        <row r="50">
          <cell r="D50" t="str">
            <v>安付伟</v>
          </cell>
          <cell r="E50" t="str">
            <v>测试工程师</v>
          </cell>
          <cell r="F50" t="str">
            <v>初级</v>
          </cell>
          <cell r="G50">
            <v>800</v>
          </cell>
        </row>
        <row r="51">
          <cell r="D51" t="str">
            <v>史雷茹</v>
          </cell>
          <cell r="E51" t="str">
            <v>测试工程师</v>
          </cell>
          <cell r="F51" t="str">
            <v>中级</v>
          </cell>
          <cell r="G51">
            <v>1200</v>
          </cell>
        </row>
        <row r="52">
          <cell r="D52" t="str">
            <v>王增辉</v>
          </cell>
          <cell r="E52" t="str">
            <v>测试工程师</v>
          </cell>
          <cell r="F52" t="str">
            <v>中级</v>
          </cell>
          <cell r="G52">
            <v>1200</v>
          </cell>
        </row>
        <row r="53">
          <cell r="D53" t="str">
            <v>王志国</v>
          </cell>
          <cell r="E53" t="str">
            <v>测试经理</v>
          </cell>
          <cell r="F53" t="str">
            <v>高级</v>
          </cell>
          <cell r="G53">
            <v>1700</v>
          </cell>
        </row>
        <row r="54">
          <cell r="D54" t="str">
            <v>赵世豪</v>
          </cell>
          <cell r="E54" t="str">
            <v>项目经理</v>
          </cell>
          <cell r="F54" t="str">
            <v>中级</v>
          </cell>
          <cell r="G54">
            <v>1800</v>
          </cell>
        </row>
        <row r="55">
          <cell r="D55" t="str">
            <v>赵明宇</v>
          </cell>
          <cell r="E55" t="str">
            <v>项目经理</v>
          </cell>
          <cell r="F55" t="str">
            <v>中级</v>
          </cell>
          <cell r="G55">
            <v>1800</v>
          </cell>
        </row>
        <row r="56">
          <cell r="D56" t="str">
            <v>詹小磊</v>
          </cell>
          <cell r="E56" t="str">
            <v>项目经理</v>
          </cell>
          <cell r="F56" t="str">
            <v>高级</v>
          </cell>
          <cell r="G56">
            <v>2100</v>
          </cell>
        </row>
        <row r="57">
          <cell r="D57" t="str">
            <v>xuyangma</v>
          </cell>
          <cell r="E57" t="str">
            <v>架构师</v>
          </cell>
          <cell r="F57" t="str">
            <v>专家</v>
          </cell>
          <cell r="G57">
            <v>2400</v>
          </cell>
        </row>
        <row r="58">
          <cell r="D58" t="str">
            <v>sichengfan1</v>
          </cell>
          <cell r="E58" t="str">
            <v>客户成功</v>
          </cell>
          <cell r="F58" t="str">
            <v>初级</v>
          </cell>
          <cell r="G58">
            <v>1000</v>
          </cell>
        </row>
        <row r="59">
          <cell r="D59" t="str">
            <v>simaoxu</v>
          </cell>
          <cell r="E59" t="str">
            <v>UI设计师</v>
          </cell>
          <cell r="F59" t="str">
            <v>高级</v>
          </cell>
          <cell r="G59">
            <v>2100</v>
          </cell>
        </row>
        <row r="60">
          <cell r="D60" t="str">
            <v>李玄正</v>
          </cell>
          <cell r="E60" t="str">
            <v>产品经理</v>
          </cell>
          <cell r="F60" t="str">
            <v>高级</v>
          </cell>
          <cell r="G60">
            <v>2100</v>
          </cell>
        </row>
        <row r="61">
          <cell r="D61" t="str">
            <v>qiangmeng</v>
          </cell>
          <cell r="E61" t="str">
            <v>项目经理</v>
          </cell>
          <cell r="F61" t="str">
            <v>中级</v>
          </cell>
          <cell r="G61">
            <v>1800</v>
          </cell>
        </row>
        <row r="62">
          <cell r="D62" t="str">
            <v>孙悦</v>
          </cell>
          <cell r="E62" t="str">
            <v>项目经理</v>
          </cell>
          <cell r="F62" t="str">
            <v>初级</v>
          </cell>
          <cell r="G62">
            <v>1500</v>
          </cell>
        </row>
        <row r="63">
          <cell r="D63" t="str">
            <v>Jane</v>
          </cell>
          <cell r="E63" t="str">
            <v>项目经理</v>
          </cell>
          <cell r="F63" t="str">
            <v>中级</v>
          </cell>
          <cell r="G63">
            <v>1800</v>
          </cell>
        </row>
        <row r="64">
          <cell r="D64" t="str">
            <v>刘彦君</v>
          </cell>
          <cell r="E64" t="str">
            <v>项目经理</v>
          </cell>
          <cell r="F64" t="str">
            <v>初级</v>
          </cell>
          <cell r="G64">
            <v>1500</v>
          </cell>
        </row>
        <row r="65">
          <cell r="D65" t="str">
            <v>林睿聪</v>
          </cell>
          <cell r="E65" t="str">
            <v>项目经理</v>
          </cell>
          <cell r="F65" t="str">
            <v>中级</v>
          </cell>
          <cell r="G65">
            <v>1800</v>
          </cell>
        </row>
        <row r="66">
          <cell r="D66" t="str">
            <v>蒙强</v>
          </cell>
          <cell r="E66" t="str">
            <v>项目经理</v>
          </cell>
          <cell r="F66" t="str">
            <v>中级</v>
          </cell>
          <cell r="G66">
            <v>1800</v>
          </cell>
        </row>
        <row r="67">
          <cell r="D67" t="str">
            <v>Steve</v>
          </cell>
          <cell r="E67" t="str">
            <v>项目经理</v>
          </cell>
          <cell r="F67" t="str">
            <v>中级</v>
          </cell>
          <cell r="G67">
            <v>1800</v>
          </cell>
        </row>
        <row r="68">
          <cell r="D68" t="str">
            <v>徐思茂</v>
          </cell>
          <cell r="E68" t="str">
            <v>UI设计师</v>
          </cell>
          <cell r="F68" t="str">
            <v>高级</v>
          </cell>
          <cell r="G68">
            <v>2100</v>
          </cell>
        </row>
        <row r="69">
          <cell r="D69" t="str">
            <v>樊思成</v>
          </cell>
          <cell r="E69" t="str">
            <v>客户成功</v>
          </cell>
          <cell r="F69" t="str">
            <v>初级</v>
          </cell>
          <cell r="G69">
            <v>1000</v>
          </cell>
        </row>
        <row r="70">
          <cell r="D70" t="str">
            <v>吴悦</v>
          </cell>
          <cell r="E70" t="str">
            <v>客户成功</v>
          </cell>
          <cell r="F70" t="str">
            <v>初级</v>
          </cell>
          <cell r="G70">
            <v>1000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MO" refreshedDate="45853.417534722197" createdVersion="5" refreshedVersion="5" minRefreshableVersion="3" recordCount="41" xr:uid="{00000000-000A-0000-FFFF-FFFF00000000}">
  <cacheSource type="worksheet">
    <worksheetSource ref="A1:J42" sheet="Sheet1"/>
  </cacheSource>
  <cacheFields count="10">
    <cacheField name="部门名称" numFmtId="0">
      <sharedItems count="7">
        <s v="Java组"/>
        <s v="Web组"/>
        <s v="产品部"/>
        <s v="美术部"/>
        <s v="质量保证部"/>
        <s v="运维部"/>
        <s v="项目组"/>
      </sharedItems>
    </cacheField>
    <cacheField name="部门编码" numFmtId="0">
      <sharedItems count="7">
        <s v="Java组"/>
        <s v="Web组"/>
        <s v="产品部"/>
        <s v="美术部"/>
        <s v="质量保证部"/>
        <s v="运维部"/>
        <s v="项目组"/>
      </sharedItems>
    </cacheField>
    <cacheField name="姓名" numFmtId="0">
      <sharedItems count="11">
        <s v="刘寿光"/>
        <s v="xuyangma"/>
        <s v="张晓伟"/>
        <s v="袁增丁"/>
        <s v="张千晓"/>
        <s v="李玄正"/>
        <s v="徐思茂"/>
        <s v="安付伟"/>
        <s v="王志国"/>
        <s v="杜金辉"/>
        <s v="赵世豪"/>
      </sharedItems>
    </cacheField>
    <cacheField name="项目名称" numFmtId="0">
      <sharedItems count="1">
        <s v="（Ameco-华北航线）华北航线中心科技"/>
      </sharedItems>
    </cacheField>
    <cacheField name="合同编号/销售机会编号/项目名称" numFmtId="0">
      <sharedItems count="1">
        <s v="CN012501001"/>
      </sharedItems>
    </cacheField>
    <cacheField name="任务名称" numFmtId="0">
      <sharedItems containsBlank="1" count="20">
        <s v="现场汇报及需求沟通相关"/>
        <s v="【产品】基础功能开发"/>
        <s v="华北航线技术验证相关"/>
        <s v="需求讲解及内部沟通"/>
        <s v="需求梳理及研讨"/>
        <s v="审结管理-维修执行完成，进入审结管理里中的该条维修详情，无法查看步骤记录，接口报错，如图"/>
        <s v="项目外包大模型范围说明文档编写"/>
        <s v="售前技术研究"/>
        <s v="方案管理-搜索-搜索弹窗上设置搜索条件，点击重置按钮，弹窗上的搜索条件没有置空"/>
        <m/>
        <s v="华北航线-业务梳理-PRD编写-需求设计"/>
        <s v="华北航线初版程序测试"/>
        <s v="讨论并梳理项目需求，明确测试边界"/>
        <s v="MAC测试环境部署及相关"/>
        <s v="现场汇报及相关内容"/>
        <s v="售前项目评审及外包巡检相关"/>
        <s v="项目内外部启动及相关"/>
        <s v="合同相关"/>
        <s v="私有化部署及相关"/>
        <s v="跟进项目进度"/>
      </sharedItems>
    </cacheField>
    <cacheField name="产品名称" numFmtId="0">
      <sharedItems count="1">
        <s v="（Ameco-华北航线）华北航线中心科技"/>
      </sharedItems>
    </cacheField>
    <cacheField name="投入工时(消耗功工时)" numFmtId="0">
      <sharedItems containsSemiMixedTypes="0" containsString="0" containsNumber="1" minValue="1" maxValue="617" count="29">
        <n v="38.5"/>
        <n v="617"/>
        <n v="51.5"/>
        <n v="5.5"/>
        <n v="23"/>
        <n v="8"/>
        <n v="131"/>
        <n v="1.5"/>
        <n v="14.5"/>
        <n v="584"/>
        <n v="18.5"/>
        <n v="2"/>
        <n v="172.5"/>
        <n v="4"/>
        <n v="55"/>
        <n v="7"/>
        <n v="12"/>
        <n v="30"/>
        <n v="9"/>
        <n v="60.5"/>
        <n v="1"/>
        <n v="1.4"/>
        <n v="62"/>
        <n v="67"/>
        <n v="32"/>
        <n v="24.5"/>
        <n v="60"/>
        <n v="2.5"/>
        <n v="10"/>
      </sharedItems>
    </cacheField>
    <cacheField name="单价" numFmtId="0">
      <sharedItems containsSemiMixedTypes="0" containsString="0" containsNumber="1" containsInteger="1" minValue="800" maxValue="2400" count="8">
        <n v="1800"/>
        <n v="2400"/>
        <n v="2300"/>
        <n v="1200"/>
        <n v="2100"/>
        <n v="800"/>
        <n v="1700"/>
        <n v="1600"/>
      </sharedItems>
    </cacheField>
    <cacheField name="合计金额" numFmtId="0">
      <sharedItems containsSemiMixedTypes="0" containsString="0" containsNumber="1" minValue="100" maxValue="138825" count="35">
        <n v="8662.5"/>
        <n v="138825"/>
        <n v="11587.5"/>
        <n v="1237.5"/>
        <n v="5175"/>
        <n v="1800"/>
        <n v="29475"/>
        <n v="450"/>
        <n v="2300"/>
        <n v="2175"/>
        <n v="225"/>
        <n v="87600"/>
        <n v="2775"/>
        <n v="300"/>
        <n v="25875"/>
        <n v="600"/>
        <n v="8250"/>
        <n v="1200"/>
        <n v="1050"/>
        <n v="3150"/>
        <n v="7875"/>
        <n v="2362.5"/>
        <n v="6050"/>
        <n v="150"/>
        <n v="100"/>
        <n v="425"/>
        <n v="297.5"/>
        <n v="12400"/>
        <n v="15075"/>
        <n v="7200"/>
        <n v="5512.5"/>
        <n v="13500"/>
        <n v="562.5"/>
        <n v="900"/>
        <n v="22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x v="0"/>
    <x v="0"/>
    <x v="0"/>
    <x v="0"/>
    <x v="0"/>
    <x v="0"/>
    <x v="0"/>
    <x v="0"/>
    <x v="0"/>
    <x v="0"/>
  </r>
  <r>
    <x v="0"/>
    <x v="0"/>
    <x v="0"/>
    <x v="0"/>
    <x v="0"/>
    <x v="1"/>
    <x v="0"/>
    <x v="1"/>
    <x v="0"/>
    <x v="1"/>
  </r>
  <r>
    <x v="0"/>
    <x v="0"/>
    <x v="0"/>
    <x v="0"/>
    <x v="0"/>
    <x v="2"/>
    <x v="0"/>
    <x v="2"/>
    <x v="0"/>
    <x v="2"/>
  </r>
  <r>
    <x v="0"/>
    <x v="0"/>
    <x v="0"/>
    <x v="0"/>
    <x v="0"/>
    <x v="3"/>
    <x v="0"/>
    <x v="3"/>
    <x v="0"/>
    <x v="3"/>
  </r>
  <r>
    <x v="0"/>
    <x v="0"/>
    <x v="0"/>
    <x v="0"/>
    <x v="0"/>
    <x v="4"/>
    <x v="0"/>
    <x v="2"/>
    <x v="0"/>
    <x v="2"/>
  </r>
  <r>
    <x v="0"/>
    <x v="0"/>
    <x v="0"/>
    <x v="0"/>
    <x v="0"/>
    <x v="5"/>
    <x v="0"/>
    <x v="4"/>
    <x v="0"/>
    <x v="4"/>
  </r>
  <r>
    <x v="0"/>
    <x v="0"/>
    <x v="0"/>
    <x v="0"/>
    <x v="0"/>
    <x v="6"/>
    <x v="0"/>
    <x v="5"/>
    <x v="0"/>
    <x v="5"/>
  </r>
  <r>
    <x v="0"/>
    <x v="0"/>
    <x v="0"/>
    <x v="0"/>
    <x v="0"/>
    <x v="7"/>
    <x v="0"/>
    <x v="6"/>
    <x v="0"/>
    <x v="6"/>
  </r>
  <r>
    <x v="0"/>
    <x v="0"/>
    <x v="1"/>
    <x v="0"/>
    <x v="0"/>
    <x v="4"/>
    <x v="0"/>
    <x v="7"/>
    <x v="1"/>
    <x v="7"/>
  </r>
  <r>
    <x v="1"/>
    <x v="1"/>
    <x v="2"/>
    <x v="0"/>
    <x v="0"/>
    <x v="4"/>
    <x v="0"/>
    <x v="5"/>
    <x v="2"/>
    <x v="8"/>
  </r>
  <r>
    <x v="1"/>
    <x v="1"/>
    <x v="3"/>
    <x v="0"/>
    <x v="0"/>
    <x v="2"/>
    <x v="0"/>
    <x v="8"/>
    <x v="3"/>
    <x v="9"/>
  </r>
  <r>
    <x v="1"/>
    <x v="1"/>
    <x v="3"/>
    <x v="0"/>
    <x v="0"/>
    <x v="3"/>
    <x v="0"/>
    <x v="7"/>
    <x v="3"/>
    <x v="10"/>
  </r>
  <r>
    <x v="1"/>
    <x v="1"/>
    <x v="3"/>
    <x v="0"/>
    <x v="0"/>
    <x v="1"/>
    <x v="0"/>
    <x v="9"/>
    <x v="3"/>
    <x v="11"/>
  </r>
  <r>
    <x v="1"/>
    <x v="1"/>
    <x v="3"/>
    <x v="0"/>
    <x v="0"/>
    <x v="8"/>
    <x v="0"/>
    <x v="10"/>
    <x v="3"/>
    <x v="12"/>
  </r>
  <r>
    <x v="1"/>
    <x v="1"/>
    <x v="3"/>
    <x v="0"/>
    <x v="0"/>
    <x v="4"/>
    <x v="0"/>
    <x v="11"/>
    <x v="3"/>
    <x v="13"/>
  </r>
  <r>
    <x v="2"/>
    <x v="2"/>
    <x v="4"/>
    <x v="0"/>
    <x v="0"/>
    <x v="9"/>
    <x v="0"/>
    <x v="12"/>
    <x v="3"/>
    <x v="14"/>
  </r>
  <r>
    <x v="2"/>
    <x v="2"/>
    <x v="4"/>
    <x v="0"/>
    <x v="0"/>
    <x v="3"/>
    <x v="0"/>
    <x v="13"/>
    <x v="3"/>
    <x v="15"/>
  </r>
  <r>
    <x v="2"/>
    <x v="2"/>
    <x v="4"/>
    <x v="0"/>
    <x v="0"/>
    <x v="4"/>
    <x v="0"/>
    <x v="14"/>
    <x v="3"/>
    <x v="16"/>
  </r>
  <r>
    <x v="2"/>
    <x v="2"/>
    <x v="4"/>
    <x v="0"/>
    <x v="0"/>
    <x v="9"/>
    <x v="0"/>
    <x v="5"/>
    <x v="3"/>
    <x v="17"/>
  </r>
  <r>
    <x v="2"/>
    <x v="2"/>
    <x v="4"/>
    <x v="0"/>
    <x v="0"/>
    <x v="9"/>
    <x v="0"/>
    <x v="13"/>
    <x v="3"/>
    <x v="15"/>
  </r>
  <r>
    <x v="2"/>
    <x v="2"/>
    <x v="4"/>
    <x v="0"/>
    <x v="0"/>
    <x v="9"/>
    <x v="0"/>
    <x v="15"/>
    <x v="3"/>
    <x v="18"/>
  </r>
  <r>
    <x v="2"/>
    <x v="2"/>
    <x v="4"/>
    <x v="0"/>
    <x v="0"/>
    <x v="9"/>
    <x v="0"/>
    <x v="13"/>
    <x v="3"/>
    <x v="15"/>
  </r>
  <r>
    <x v="2"/>
    <x v="2"/>
    <x v="5"/>
    <x v="0"/>
    <x v="0"/>
    <x v="4"/>
    <x v="0"/>
    <x v="16"/>
    <x v="4"/>
    <x v="19"/>
  </r>
  <r>
    <x v="2"/>
    <x v="2"/>
    <x v="5"/>
    <x v="0"/>
    <x v="0"/>
    <x v="9"/>
    <x v="0"/>
    <x v="17"/>
    <x v="4"/>
    <x v="20"/>
  </r>
  <r>
    <x v="2"/>
    <x v="2"/>
    <x v="5"/>
    <x v="0"/>
    <x v="0"/>
    <x v="10"/>
    <x v="0"/>
    <x v="13"/>
    <x v="4"/>
    <x v="18"/>
  </r>
  <r>
    <x v="3"/>
    <x v="3"/>
    <x v="6"/>
    <x v="0"/>
    <x v="0"/>
    <x v="10"/>
    <x v="0"/>
    <x v="18"/>
    <x v="4"/>
    <x v="21"/>
  </r>
  <r>
    <x v="4"/>
    <x v="4"/>
    <x v="7"/>
    <x v="0"/>
    <x v="0"/>
    <x v="11"/>
    <x v="0"/>
    <x v="19"/>
    <x v="5"/>
    <x v="22"/>
  </r>
  <r>
    <x v="4"/>
    <x v="4"/>
    <x v="7"/>
    <x v="0"/>
    <x v="0"/>
    <x v="3"/>
    <x v="0"/>
    <x v="7"/>
    <x v="5"/>
    <x v="23"/>
  </r>
  <r>
    <x v="4"/>
    <x v="4"/>
    <x v="7"/>
    <x v="0"/>
    <x v="0"/>
    <x v="12"/>
    <x v="0"/>
    <x v="20"/>
    <x v="5"/>
    <x v="24"/>
  </r>
  <r>
    <x v="4"/>
    <x v="4"/>
    <x v="8"/>
    <x v="0"/>
    <x v="0"/>
    <x v="9"/>
    <x v="0"/>
    <x v="11"/>
    <x v="6"/>
    <x v="25"/>
  </r>
  <r>
    <x v="4"/>
    <x v="4"/>
    <x v="8"/>
    <x v="0"/>
    <x v="0"/>
    <x v="9"/>
    <x v="0"/>
    <x v="21"/>
    <x v="6"/>
    <x v="26"/>
  </r>
  <r>
    <x v="5"/>
    <x v="5"/>
    <x v="9"/>
    <x v="0"/>
    <x v="0"/>
    <x v="13"/>
    <x v="0"/>
    <x v="22"/>
    <x v="7"/>
    <x v="27"/>
  </r>
  <r>
    <x v="6"/>
    <x v="6"/>
    <x v="10"/>
    <x v="0"/>
    <x v="0"/>
    <x v="14"/>
    <x v="0"/>
    <x v="23"/>
    <x v="0"/>
    <x v="28"/>
  </r>
  <r>
    <x v="6"/>
    <x v="6"/>
    <x v="10"/>
    <x v="0"/>
    <x v="0"/>
    <x v="7"/>
    <x v="0"/>
    <x v="20"/>
    <x v="0"/>
    <x v="10"/>
  </r>
  <r>
    <x v="6"/>
    <x v="6"/>
    <x v="10"/>
    <x v="0"/>
    <x v="0"/>
    <x v="15"/>
    <x v="0"/>
    <x v="24"/>
    <x v="0"/>
    <x v="29"/>
  </r>
  <r>
    <x v="6"/>
    <x v="6"/>
    <x v="10"/>
    <x v="0"/>
    <x v="0"/>
    <x v="4"/>
    <x v="0"/>
    <x v="25"/>
    <x v="0"/>
    <x v="30"/>
  </r>
  <r>
    <x v="6"/>
    <x v="6"/>
    <x v="10"/>
    <x v="0"/>
    <x v="0"/>
    <x v="16"/>
    <x v="0"/>
    <x v="26"/>
    <x v="0"/>
    <x v="31"/>
  </r>
  <r>
    <x v="6"/>
    <x v="6"/>
    <x v="10"/>
    <x v="0"/>
    <x v="0"/>
    <x v="3"/>
    <x v="0"/>
    <x v="27"/>
    <x v="0"/>
    <x v="32"/>
  </r>
  <r>
    <x v="6"/>
    <x v="6"/>
    <x v="10"/>
    <x v="0"/>
    <x v="0"/>
    <x v="17"/>
    <x v="0"/>
    <x v="13"/>
    <x v="0"/>
    <x v="33"/>
  </r>
  <r>
    <x v="6"/>
    <x v="6"/>
    <x v="10"/>
    <x v="0"/>
    <x v="0"/>
    <x v="18"/>
    <x v="0"/>
    <x v="28"/>
    <x v="0"/>
    <x v="34"/>
  </r>
  <r>
    <x v="6"/>
    <x v="6"/>
    <x v="10"/>
    <x v="0"/>
    <x v="0"/>
    <x v="19"/>
    <x v="0"/>
    <x v="13"/>
    <x v="0"/>
    <x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1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>
  <location ref="A3:B5" firstHeaderRow="1" firstDataRow="1" firstDataCol="1"/>
  <pivotFields count="10">
    <pivotField compact="0" showAll="0"/>
    <pivotField compact="0" showAll="0"/>
    <pivotField compact="0" showAll="0"/>
    <pivotField axis="axisRow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求和项:合计金额" fld="9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outline="0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zoomScale="130" zoomScaleNormal="130" workbookViewId="0">
      <selection activeCell="A25" sqref="A25"/>
    </sheetView>
  </sheetViews>
  <sheetFormatPr defaultColWidth="9" defaultRowHeight="15.6" x14ac:dyDescent="0.25"/>
  <cols>
    <col min="1" max="1" width="38.296875"/>
    <col min="2" max="2" width="17.19921875"/>
    <col min="3" max="3" width="13.796875" customWidth="1"/>
  </cols>
  <sheetData>
    <row r="3" spans="1:2" x14ac:dyDescent="0.25">
      <c r="A3" s="4" t="s">
        <v>0</v>
      </c>
      <c r="B3" s="4" t="s">
        <v>1</v>
      </c>
    </row>
    <row r="4" spans="1:2" x14ac:dyDescent="0.25">
      <c r="A4" s="4" t="s">
        <v>2</v>
      </c>
      <c r="B4" s="4">
        <v>422335</v>
      </c>
    </row>
    <row r="5" spans="1:2" x14ac:dyDescent="0.25">
      <c r="A5" s="4" t="s">
        <v>3</v>
      </c>
      <c r="B5" s="4">
        <v>422335</v>
      </c>
    </row>
    <row r="6" spans="1:2" x14ac:dyDescent="0.25">
      <c r="A6" s="5" t="s">
        <v>56</v>
      </c>
      <c r="B6" s="4"/>
    </row>
    <row r="7" spans="1:2" x14ac:dyDescent="0.25">
      <c r="A7" s="5" t="s">
        <v>52</v>
      </c>
      <c r="B7" s="4">
        <f>GETPIVOTDATA("合计金额",$A$3)*0.4</f>
        <v>168934</v>
      </c>
    </row>
    <row r="8" spans="1:2" x14ac:dyDescent="0.25">
      <c r="A8" s="5" t="s">
        <v>53</v>
      </c>
      <c r="B8" s="4">
        <f>GETPIVOTDATA("合计金额",$A$3)*0.6</f>
        <v>253401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tabSelected="1" topLeftCell="B1" zoomScale="115" zoomScaleNormal="115" workbookViewId="0">
      <pane ySplit="1" topLeftCell="A2" activePane="bottomLeft" state="frozen"/>
      <selection pane="bottomLeft" activeCell="F11" sqref="F11"/>
    </sheetView>
  </sheetViews>
  <sheetFormatPr defaultColWidth="9" defaultRowHeight="15.6" x14ac:dyDescent="0.25"/>
  <cols>
    <col min="4" max="4" width="16.19921875" customWidth="1"/>
    <col min="5" max="5" width="25.296875" customWidth="1"/>
    <col min="6" max="6" width="60.296875" customWidth="1"/>
    <col min="7" max="7" width="37" customWidth="1"/>
    <col min="8" max="8" width="26.3984375" customWidth="1"/>
  </cols>
  <sheetData>
    <row r="1" spans="1:11" s="1" customFormat="1" x14ac:dyDescent="0.25">
      <c r="A1" s="1" t="s">
        <v>4</v>
      </c>
      <c r="B1" s="1" t="s">
        <v>5</v>
      </c>
      <c r="C1" s="1" t="s">
        <v>6</v>
      </c>
      <c r="D1" s="1" t="s">
        <v>0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2" t="s">
        <v>49</v>
      </c>
    </row>
    <row r="2" spans="1:11" x14ac:dyDescent="0.25">
      <c r="A2" t="s">
        <v>13</v>
      </c>
      <c r="B2" t="s">
        <v>13</v>
      </c>
      <c r="C2" t="s">
        <v>14</v>
      </c>
      <c r="D2" t="s">
        <v>2</v>
      </c>
      <c r="E2" t="s">
        <v>15</v>
      </c>
      <c r="F2" t="s">
        <v>16</v>
      </c>
      <c r="G2" t="s">
        <v>2</v>
      </c>
      <c r="H2">
        <v>38.5</v>
      </c>
      <c r="I2">
        <f>VLOOKUP(C2,[1]人员表!$D:$G,4,FALSE)</f>
        <v>1800</v>
      </c>
      <c r="J2">
        <f>H2/8*I2</f>
        <v>8662.5</v>
      </c>
      <c r="K2" s="3" t="s">
        <v>50</v>
      </c>
    </row>
    <row r="3" spans="1:11" x14ac:dyDescent="0.25">
      <c r="A3" t="s">
        <v>13</v>
      </c>
      <c r="B3" t="s">
        <v>13</v>
      </c>
      <c r="C3" t="s">
        <v>14</v>
      </c>
      <c r="D3" t="s">
        <v>2</v>
      </c>
      <c r="E3" t="s">
        <v>15</v>
      </c>
      <c r="F3" t="s">
        <v>17</v>
      </c>
      <c r="G3" t="s">
        <v>2</v>
      </c>
      <c r="H3">
        <v>617</v>
      </c>
      <c r="I3">
        <f>VLOOKUP(C3,[1]人员表!$D:$G,4,FALSE)</f>
        <v>1800</v>
      </c>
      <c r="J3">
        <f t="shared" ref="J3:J42" si="0">H3/8*I3</f>
        <v>138825</v>
      </c>
      <c r="K3" s="3" t="s">
        <v>51</v>
      </c>
    </row>
    <row r="4" spans="1:11" x14ac:dyDescent="0.25">
      <c r="A4" t="s">
        <v>13</v>
      </c>
      <c r="B4" t="s">
        <v>13</v>
      </c>
      <c r="C4" t="s">
        <v>14</v>
      </c>
      <c r="D4" t="s">
        <v>2</v>
      </c>
      <c r="E4" t="s">
        <v>15</v>
      </c>
      <c r="F4" t="s">
        <v>18</v>
      </c>
      <c r="G4" t="s">
        <v>2</v>
      </c>
      <c r="H4">
        <v>51.5</v>
      </c>
      <c r="I4">
        <f>VLOOKUP(C4,[1]人员表!$D:$G,4,FALSE)</f>
        <v>1800</v>
      </c>
      <c r="J4">
        <f t="shared" si="0"/>
        <v>11587.5</v>
      </c>
      <c r="K4" s="3" t="s">
        <v>51</v>
      </c>
    </row>
    <row r="5" spans="1:11" x14ac:dyDescent="0.25">
      <c r="A5" t="s">
        <v>13</v>
      </c>
      <c r="B5" t="s">
        <v>13</v>
      </c>
      <c r="C5" t="s">
        <v>14</v>
      </c>
      <c r="D5" t="s">
        <v>2</v>
      </c>
      <c r="E5" t="s">
        <v>15</v>
      </c>
      <c r="F5" t="s">
        <v>19</v>
      </c>
      <c r="G5" t="s">
        <v>2</v>
      </c>
      <c r="H5">
        <v>5.5</v>
      </c>
      <c r="I5">
        <f>VLOOKUP(C5,[1]人员表!$D:$G,4,FALSE)</f>
        <v>1800</v>
      </c>
      <c r="J5">
        <f t="shared" si="0"/>
        <v>1237.5</v>
      </c>
      <c r="K5" s="3" t="s">
        <v>50</v>
      </c>
    </row>
    <row r="6" spans="1:11" x14ac:dyDescent="0.25">
      <c r="A6" t="s">
        <v>13</v>
      </c>
      <c r="B6" t="s">
        <v>13</v>
      </c>
      <c r="C6" t="s">
        <v>14</v>
      </c>
      <c r="D6" t="s">
        <v>2</v>
      </c>
      <c r="E6" t="s">
        <v>15</v>
      </c>
      <c r="F6" t="s">
        <v>20</v>
      </c>
      <c r="G6" t="s">
        <v>2</v>
      </c>
      <c r="H6">
        <v>51.5</v>
      </c>
      <c r="I6">
        <f>VLOOKUP(C6,[1]人员表!$D:$G,4,FALSE)</f>
        <v>1800</v>
      </c>
      <c r="J6">
        <f t="shared" si="0"/>
        <v>11587.5</v>
      </c>
      <c r="K6" s="3" t="s">
        <v>50</v>
      </c>
    </row>
    <row r="7" spans="1:11" x14ac:dyDescent="0.25">
      <c r="A7" t="s">
        <v>13</v>
      </c>
      <c r="B7" t="s">
        <v>13</v>
      </c>
      <c r="C7" t="s">
        <v>14</v>
      </c>
      <c r="D7" t="s">
        <v>2</v>
      </c>
      <c r="E7" t="s">
        <v>15</v>
      </c>
      <c r="F7" s="3" t="s">
        <v>54</v>
      </c>
      <c r="G7" t="s">
        <v>2</v>
      </c>
      <c r="H7">
        <v>23</v>
      </c>
      <c r="I7">
        <f>VLOOKUP(C7,[1]人员表!$D:$G,4,FALSE)</f>
        <v>1800</v>
      </c>
      <c r="J7">
        <f t="shared" si="0"/>
        <v>5175</v>
      </c>
      <c r="K7" s="3" t="s">
        <v>50</v>
      </c>
    </row>
    <row r="8" spans="1:11" x14ac:dyDescent="0.25">
      <c r="A8" t="s">
        <v>13</v>
      </c>
      <c r="B8" t="s">
        <v>13</v>
      </c>
      <c r="C8" t="s">
        <v>14</v>
      </c>
      <c r="D8" t="s">
        <v>2</v>
      </c>
      <c r="E8" t="s">
        <v>15</v>
      </c>
      <c r="F8" t="s">
        <v>21</v>
      </c>
      <c r="G8" t="s">
        <v>2</v>
      </c>
      <c r="H8">
        <v>8</v>
      </c>
      <c r="I8">
        <f>VLOOKUP(C8,[1]人员表!$D:$G,4,FALSE)</f>
        <v>1800</v>
      </c>
      <c r="J8">
        <f t="shared" si="0"/>
        <v>1800</v>
      </c>
      <c r="K8" s="3" t="s">
        <v>50</v>
      </c>
    </row>
    <row r="9" spans="1:11" x14ac:dyDescent="0.25">
      <c r="A9" t="s">
        <v>13</v>
      </c>
      <c r="B9" t="s">
        <v>13</v>
      </c>
      <c r="C9" t="s">
        <v>14</v>
      </c>
      <c r="D9" t="s">
        <v>2</v>
      </c>
      <c r="E9" t="s">
        <v>15</v>
      </c>
      <c r="F9" t="s">
        <v>22</v>
      </c>
      <c r="G9" t="s">
        <v>2</v>
      </c>
      <c r="H9">
        <v>131</v>
      </c>
      <c r="I9">
        <f>VLOOKUP(C9,[1]人员表!$D:$G,4,FALSE)</f>
        <v>1800</v>
      </c>
      <c r="J9">
        <f t="shared" si="0"/>
        <v>29475</v>
      </c>
      <c r="K9" s="3" t="s">
        <v>50</v>
      </c>
    </row>
    <row r="10" spans="1:11" x14ac:dyDescent="0.25">
      <c r="A10" t="s">
        <v>13</v>
      </c>
      <c r="B10" t="s">
        <v>13</v>
      </c>
      <c r="C10" t="s">
        <v>23</v>
      </c>
      <c r="D10" t="s">
        <v>2</v>
      </c>
      <c r="E10" t="s">
        <v>15</v>
      </c>
      <c r="F10" t="s">
        <v>20</v>
      </c>
      <c r="G10" t="s">
        <v>2</v>
      </c>
      <c r="H10">
        <v>1.5</v>
      </c>
      <c r="I10">
        <f>VLOOKUP(C10,[1]人员表!$D:$G,4,FALSE)</f>
        <v>2400</v>
      </c>
      <c r="J10">
        <f t="shared" si="0"/>
        <v>450</v>
      </c>
      <c r="K10" s="3" t="s">
        <v>50</v>
      </c>
    </row>
    <row r="11" spans="1:11" x14ac:dyDescent="0.25">
      <c r="A11" t="s">
        <v>24</v>
      </c>
      <c r="B11" t="s">
        <v>24</v>
      </c>
      <c r="C11" t="s">
        <v>25</v>
      </c>
      <c r="D11" t="s">
        <v>2</v>
      </c>
      <c r="E11" t="s">
        <v>15</v>
      </c>
      <c r="F11" t="s">
        <v>20</v>
      </c>
      <c r="G11" t="s">
        <v>2</v>
      </c>
      <c r="H11">
        <v>8</v>
      </c>
      <c r="I11">
        <f>VLOOKUP(C11,[1]人员表!$D:$G,4,FALSE)</f>
        <v>2300</v>
      </c>
      <c r="J11">
        <f t="shared" si="0"/>
        <v>2300</v>
      </c>
      <c r="K11" s="3" t="s">
        <v>50</v>
      </c>
    </row>
    <row r="12" spans="1:11" x14ac:dyDescent="0.25">
      <c r="A12" t="s">
        <v>24</v>
      </c>
      <c r="B12" t="s">
        <v>24</v>
      </c>
      <c r="C12" t="s">
        <v>26</v>
      </c>
      <c r="D12" t="s">
        <v>2</v>
      </c>
      <c r="E12" t="s">
        <v>15</v>
      </c>
      <c r="F12" t="s">
        <v>18</v>
      </c>
      <c r="G12" t="s">
        <v>2</v>
      </c>
      <c r="H12">
        <v>14.5</v>
      </c>
      <c r="I12">
        <f>VLOOKUP(C12,[1]人员表!$D:$G,4,FALSE)</f>
        <v>1200</v>
      </c>
      <c r="J12">
        <f t="shared" si="0"/>
        <v>2175</v>
      </c>
      <c r="K12" s="3" t="s">
        <v>51</v>
      </c>
    </row>
    <row r="13" spans="1:11" x14ac:dyDescent="0.25">
      <c r="A13" t="s">
        <v>24</v>
      </c>
      <c r="B13" t="s">
        <v>24</v>
      </c>
      <c r="C13" t="s">
        <v>26</v>
      </c>
      <c r="D13" t="s">
        <v>2</v>
      </c>
      <c r="E13" t="s">
        <v>15</v>
      </c>
      <c r="F13" t="s">
        <v>19</v>
      </c>
      <c r="G13" t="s">
        <v>2</v>
      </c>
      <c r="H13">
        <v>1.5</v>
      </c>
      <c r="I13">
        <f>VLOOKUP(C13,[1]人员表!$D:$G,4,FALSE)</f>
        <v>1200</v>
      </c>
      <c r="J13">
        <f t="shared" si="0"/>
        <v>225</v>
      </c>
      <c r="K13" s="3" t="s">
        <v>50</v>
      </c>
    </row>
    <row r="14" spans="1:11" x14ac:dyDescent="0.25">
      <c r="A14" t="s">
        <v>24</v>
      </c>
      <c r="B14" t="s">
        <v>24</v>
      </c>
      <c r="C14" t="s">
        <v>26</v>
      </c>
      <c r="D14" t="s">
        <v>2</v>
      </c>
      <c r="E14" t="s">
        <v>15</v>
      </c>
      <c r="F14" t="s">
        <v>17</v>
      </c>
      <c r="G14" t="s">
        <v>2</v>
      </c>
      <c r="H14">
        <v>584</v>
      </c>
      <c r="I14">
        <f>VLOOKUP(C14,[1]人员表!$D:$G,4,FALSE)</f>
        <v>1200</v>
      </c>
      <c r="J14">
        <f t="shared" si="0"/>
        <v>87600</v>
      </c>
      <c r="K14" s="3" t="s">
        <v>51</v>
      </c>
    </row>
    <row r="15" spans="1:11" x14ac:dyDescent="0.25">
      <c r="A15" t="s">
        <v>24</v>
      </c>
      <c r="B15" t="s">
        <v>24</v>
      </c>
      <c r="C15" t="s">
        <v>26</v>
      </c>
      <c r="D15" t="s">
        <v>2</v>
      </c>
      <c r="E15" t="s">
        <v>15</v>
      </c>
      <c r="F15" s="3" t="s">
        <v>55</v>
      </c>
      <c r="G15" t="s">
        <v>2</v>
      </c>
      <c r="H15">
        <v>18.5</v>
      </c>
      <c r="I15">
        <f>VLOOKUP(C15,[1]人员表!$D:$G,4,FALSE)</f>
        <v>1200</v>
      </c>
      <c r="J15">
        <f t="shared" si="0"/>
        <v>2775</v>
      </c>
      <c r="K15" s="3" t="s">
        <v>51</v>
      </c>
    </row>
    <row r="16" spans="1:11" x14ac:dyDescent="0.25">
      <c r="A16" t="s">
        <v>24</v>
      </c>
      <c r="B16" t="s">
        <v>24</v>
      </c>
      <c r="C16" t="s">
        <v>26</v>
      </c>
      <c r="D16" t="s">
        <v>2</v>
      </c>
      <c r="E16" t="s">
        <v>15</v>
      </c>
      <c r="F16" t="s">
        <v>20</v>
      </c>
      <c r="G16" t="s">
        <v>2</v>
      </c>
      <c r="H16">
        <v>2</v>
      </c>
      <c r="I16">
        <f>VLOOKUP(C16,[1]人员表!$D:$G,4,FALSE)</f>
        <v>1200</v>
      </c>
      <c r="J16">
        <f t="shared" si="0"/>
        <v>300</v>
      </c>
      <c r="K16" s="3" t="s">
        <v>50</v>
      </c>
    </row>
    <row r="17" spans="1:11" x14ac:dyDescent="0.25">
      <c r="A17" t="s">
        <v>27</v>
      </c>
      <c r="B17" t="s">
        <v>27</v>
      </c>
      <c r="C17" t="s">
        <v>28</v>
      </c>
      <c r="D17" t="s">
        <v>2</v>
      </c>
      <c r="E17" t="s">
        <v>15</v>
      </c>
      <c r="G17" t="s">
        <v>2</v>
      </c>
      <c r="H17">
        <v>172.5</v>
      </c>
      <c r="I17">
        <f>VLOOKUP(C17,[1]人员表!$D:$G,4,FALSE)</f>
        <v>1200</v>
      </c>
      <c r="J17">
        <f t="shared" si="0"/>
        <v>25875</v>
      </c>
      <c r="K17" s="3" t="s">
        <v>51</v>
      </c>
    </row>
    <row r="18" spans="1:11" x14ac:dyDescent="0.25">
      <c r="A18" t="s">
        <v>27</v>
      </c>
      <c r="B18" t="s">
        <v>27</v>
      </c>
      <c r="C18" t="s">
        <v>28</v>
      </c>
      <c r="D18" t="s">
        <v>2</v>
      </c>
      <c r="E18" t="s">
        <v>15</v>
      </c>
      <c r="F18" t="s">
        <v>19</v>
      </c>
      <c r="G18" t="s">
        <v>2</v>
      </c>
      <c r="H18">
        <v>4</v>
      </c>
      <c r="I18">
        <f>VLOOKUP(C18,[1]人员表!$D:$G,4,FALSE)</f>
        <v>1200</v>
      </c>
      <c r="J18">
        <f t="shared" si="0"/>
        <v>600</v>
      </c>
      <c r="K18" s="3" t="s">
        <v>50</v>
      </c>
    </row>
    <row r="19" spans="1:11" x14ac:dyDescent="0.25">
      <c r="A19" t="s">
        <v>27</v>
      </c>
      <c r="B19" t="s">
        <v>27</v>
      </c>
      <c r="C19" t="s">
        <v>28</v>
      </c>
      <c r="D19" t="s">
        <v>2</v>
      </c>
      <c r="E19" t="s">
        <v>15</v>
      </c>
      <c r="F19" t="s">
        <v>20</v>
      </c>
      <c r="G19" t="s">
        <v>2</v>
      </c>
      <c r="H19">
        <v>55</v>
      </c>
      <c r="I19">
        <f>VLOOKUP(C19,[1]人员表!$D:$G,4,FALSE)</f>
        <v>1200</v>
      </c>
      <c r="J19">
        <f t="shared" si="0"/>
        <v>8250</v>
      </c>
      <c r="K19" s="3" t="s">
        <v>50</v>
      </c>
    </row>
    <row r="20" spans="1:11" x14ac:dyDescent="0.25">
      <c r="A20" t="s">
        <v>27</v>
      </c>
      <c r="B20" t="s">
        <v>27</v>
      </c>
      <c r="C20" t="s">
        <v>28</v>
      </c>
      <c r="D20" t="s">
        <v>2</v>
      </c>
      <c r="E20" t="s">
        <v>15</v>
      </c>
      <c r="G20" t="s">
        <v>2</v>
      </c>
      <c r="H20">
        <v>8</v>
      </c>
      <c r="I20">
        <f>VLOOKUP(C20,[1]人员表!$D:$G,4,FALSE)</f>
        <v>1200</v>
      </c>
      <c r="J20">
        <f t="shared" si="0"/>
        <v>1200</v>
      </c>
      <c r="K20" s="3" t="s">
        <v>51</v>
      </c>
    </row>
    <row r="21" spans="1:11" x14ac:dyDescent="0.25">
      <c r="A21" t="s">
        <v>27</v>
      </c>
      <c r="B21" t="s">
        <v>27</v>
      </c>
      <c r="C21" t="s">
        <v>28</v>
      </c>
      <c r="D21" t="s">
        <v>2</v>
      </c>
      <c r="E21" t="s">
        <v>15</v>
      </c>
      <c r="G21" t="s">
        <v>2</v>
      </c>
      <c r="H21">
        <v>4</v>
      </c>
      <c r="I21">
        <f>VLOOKUP(C21,[1]人员表!$D:$G,4,FALSE)</f>
        <v>1200</v>
      </c>
      <c r="J21">
        <f t="shared" si="0"/>
        <v>600</v>
      </c>
      <c r="K21" s="3" t="s">
        <v>51</v>
      </c>
    </row>
    <row r="22" spans="1:11" x14ac:dyDescent="0.25">
      <c r="A22" t="s">
        <v>27</v>
      </c>
      <c r="B22" t="s">
        <v>27</v>
      </c>
      <c r="C22" t="s">
        <v>28</v>
      </c>
      <c r="D22" t="s">
        <v>2</v>
      </c>
      <c r="E22" t="s">
        <v>15</v>
      </c>
      <c r="G22" t="s">
        <v>2</v>
      </c>
      <c r="H22">
        <v>7</v>
      </c>
      <c r="I22">
        <f>VLOOKUP(C22,[1]人员表!$D:$G,4,FALSE)</f>
        <v>1200</v>
      </c>
      <c r="J22">
        <f t="shared" si="0"/>
        <v>1050</v>
      </c>
      <c r="K22" s="3" t="s">
        <v>51</v>
      </c>
    </row>
    <row r="23" spans="1:11" x14ac:dyDescent="0.25">
      <c r="A23" t="s">
        <v>27</v>
      </c>
      <c r="B23" t="s">
        <v>27</v>
      </c>
      <c r="C23" t="s">
        <v>28</v>
      </c>
      <c r="D23" t="s">
        <v>2</v>
      </c>
      <c r="E23" t="s">
        <v>15</v>
      </c>
      <c r="G23" t="s">
        <v>2</v>
      </c>
      <c r="H23">
        <v>4</v>
      </c>
      <c r="I23">
        <f>VLOOKUP(C23,[1]人员表!$D:$G,4,FALSE)</f>
        <v>1200</v>
      </c>
      <c r="J23">
        <f t="shared" si="0"/>
        <v>600</v>
      </c>
      <c r="K23" s="3" t="s">
        <v>51</v>
      </c>
    </row>
    <row r="24" spans="1:11" x14ac:dyDescent="0.25">
      <c r="A24" t="s">
        <v>27</v>
      </c>
      <c r="B24" t="s">
        <v>27</v>
      </c>
      <c r="C24" t="s">
        <v>29</v>
      </c>
      <c r="D24" t="s">
        <v>2</v>
      </c>
      <c r="E24" t="s">
        <v>15</v>
      </c>
      <c r="F24" t="s">
        <v>20</v>
      </c>
      <c r="G24" t="s">
        <v>2</v>
      </c>
      <c r="H24">
        <v>12</v>
      </c>
      <c r="I24">
        <f>VLOOKUP(C24,[1]人员表!$D:$G,4,FALSE)</f>
        <v>2100</v>
      </c>
      <c r="J24">
        <f t="shared" si="0"/>
        <v>3150</v>
      </c>
      <c r="K24" s="3" t="s">
        <v>51</v>
      </c>
    </row>
    <row r="25" spans="1:11" x14ac:dyDescent="0.25">
      <c r="A25" t="s">
        <v>27</v>
      </c>
      <c r="B25" t="s">
        <v>27</v>
      </c>
      <c r="C25" t="s">
        <v>29</v>
      </c>
      <c r="D25" t="s">
        <v>2</v>
      </c>
      <c r="E25" t="s">
        <v>15</v>
      </c>
      <c r="G25" t="s">
        <v>2</v>
      </c>
      <c r="H25">
        <v>30</v>
      </c>
      <c r="I25">
        <f>VLOOKUP(C25,[1]人员表!$D:$G,4,FALSE)</f>
        <v>2100</v>
      </c>
      <c r="J25">
        <f t="shared" si="0"/>
        <v>7875</v>
      </c>
      <c r="K25" s="3" t="s">
        <v>51</v>
      </c>
    </row>
    <row r="26" spans="1:11" x14ac:dyDescent="0.25">
      <c r="A26" t="s">
        <v>27</v>
      </c>
      <c r="B26" t="s">
        <v>27</v>
      </c>
      <c r="C26" t="s">
        <v>29</v>
      </c>
      <c r="D26" t="s">
        <v>2</v>
      </c>
      <c r="E26" t="s">
        <v>15</v>
      </c>
      <c r="F26" t="s">
        <v>30</v>
      </c>
      <c r="G26" t="s">
        <v>2</v>
      </c>
      <c r="H26">
        <v>4</v>
      </c>
      <c r="I26">
        <f>VLOOKUP(C26,[1]人员表!$D:$G,4,FALSE)</f>
        <v>2100</v>
      </c>
      <c r="J26">
        <f t="shared" si="0"/>
        <v>1050</v>
      </c>
      <c r="K26" s="3" t="s">
        <v>50</v>
      </c>
    </row>
    <row r="27" spans="1:11" x14ac:dyDescent="0.25">
      <c r="A27" t="s">
        <v>31</v>
      </c>
      <c r="B27" t="s">
        <v>31</v>
      </c>
      <c r="C27" t="s">
        <v>32</v>
      </c>
      <c r="D27" t="s">
        <v>2</v>
      </c>
      <c r="E27" t="s">
        <v>15</v>
      </c>
      <c r="F27" t="s">
        <v>30</v>
      </c>
      <c r="G27" t="s">
        <v>2</v>
      </c>
      <c r="H27">
        <v>9</v>
      </c>
      <c r="I27">
        <f>VLOOKUP(C27,[1]人员表!$D:$G,4,FALSE)</f>
        <v>2100</v>
      </c>
      <c r="J27">
        <f t="shared" si="0"/>
        <v>2362.5</v>
      </c>
      <c r="K27" s="3" t="s">
        <v>50</v>
      </c>
    </row>
    <row r="28" spans="1:11" x14ac:dyDescent="0.25">
      <c r="A28" t="s">
        <v>33</v>
      </c>
      <c r="B28" t="s">
        <v>33</v>
      </c>
      <c r="C28" t="s">
        <v>34</v>
      </c>
      <c r="D28" t="s">
        <v>2</v>
      </c>
      <c r="E28" t="s">
        <v>15</v>
      </c>
      <c r="F28" t="s">
        <v>35</v>
      </c>
      <c r="G28" t="s">
        <v>2</v>
      </c>
      <c r="H28">
        <v>60.5</v>
      </c>
      <c r="I28">
        <f>VLOOKUP(C28,[1]人员表!$D:$G,4,FALSE)</f>
        <v>800</v>
      </c>
      <c r="J28">
        <f t="shared" si="0"/>
        <v>6050</v>
      </c>
      <c r="K28" s="3" t="s">
        <v>51</v>
      </c>
    </row>
    <row r="29" spans="1:11" x14ac:dyDescent="0.25">
      <c r="A29" t="s">
        <v>33</v>
      </c>
      <c r="B29" t="s">
        <v>33</v>
      </c>
      <c r="C29" t="s">
        <v>34</v>
      </c>
      <c r="D29" t="s">
        <v>2</v>
      </c>
      <c r="E29" t="s">
        <v>15</v>
      </c>
      <c r="F29" t="s">
        <v>19</v>
      </c>
      <c r="G29" t="s">
        <v>2</v>
      </c>
      <c r="H29">
        <v>1.5</v>
      </c>
      <c r="I29">
        <f>VLOOKUP(C29,[1]人员表!$D:$G,4,FALSE)</f>
        <v>800</v>
      </c>
      <c r="J29">
        <f t="shared" si="0"/>
        <v>150</v>
      </c>
      <c r="K29" s="3" t="s">
        <v>50</v>
      </c>
    </row>
    <row r="30" spans="1:11" x14ac:dyDescent="0.25">
      <c r="A30" t="s">
        <v>33</v>
      </c>
      <c r="B30" t="s">
        <v>33</v>
      </c>
      <c r="C30" t="s">
        <v>34</v>
      </c>
      <c r="D30" t="s">
        <v>2</v>
      </c>
      <c r="E30" t="s">
        <v>15</v>
      </c>
      <c r="F30" t="s">
        <v>36</v>
      </c>
      <c r="G30" t="s">
        <v>2</v>
      </c>
      <c r="H30">
        <v>1</v>
      </c>
      <c r="I30">
        <f>VLOOKUP(C30,[1]人员表!$D:$G,4,FALSE)</f>
        <v>800</v>
      </c>
      <c r="J30">
        <f t="shared" si="0"/>
        <v>100</v>
      </c>
      <c r="K30" s="3" t="s">
        <v>50</v>
      </c>
    </row>
    <row r="31" spans="1:11" x14ac:dyDescent="0.25">
      <c r="A31" t="s">
        <v>33</v>
      </c>
      <c r="B31" t="s">
        <v>33</v>
      </c>
      <c r="C31" t="s">
        <v>37</v>
      </c>
      <c r="D31" t="s">
        <v>2</v>
      </c>
      <c r="E31" t="s">
        <v>15</v>
      </c>
      <c r="G31" t="s">
        <v>2</v>
      </c>
      <c r="H31">
        <v>2</v>
      </c>
      <c r="I31">
        <f>VLOOKUP(C31,[1]人员表!$D:$G,4,FALSE)</f>
        <v>1700</v>
      </c>
      <c r="J31">
        <f t="shared" si="0"/>
        <v>425</v>
      </c>
      <c r="K31" s="3" t="s">
        <v>50</v>
      </c>
    </row>
    <row r="32" spans="1:11" x14ac:dyDescent="0.25">
      <c r="A32" t="s">
        <v>33</v>
      </c>
      <c r="B32" t="s">
        <v>33</v>
      </c>
      <c r="C32" t="s">
        <v>37</v>
      </c>
      <c r="D32" t="s">
        <v>2</v>
      </c>
      <c r="E32" t="s">
        <v>15</v>
      </c>
      <c r="G32" t="s">
        <v>2</v>
      </c>
      <c r="H32">
        <v>1.4</v>
      </c>
      <c r="I32">
        <f>VLOOKUP(C32,[1]人员表!$D:$G,4,FALSE)</f>
        <v>1700</v>
      </c>
      <c r="J32">
        <f t="shared" si="0"/>
        <v>297.5</v>
      </c>
      <c r="K32" s="3" t="s">
        <v>50</v>
      </c>
    </row>
    <row r="33" spans="1:11" x14ac:dyDescent="0.25">
      <c r="A33" t="s">
        <v>38</v>
      </c>
      <c r="B33" t="s">
        <v>38</v>
      </c>
      <c r="C33" t="s">
        <v>39</v>
      </c>
      <c r="D33" t="s">
        <v>2</v>
      </c>
      <c r="E33" t="s">
        <v>15</v>
      </c>
      <c r="F33" t="s">
        <v>40</v>
      </c>
      <c r="G33" t="s">
        <v>2</v>
      </c>
      <c r="H33">
        <v>62</v>
      </c>
      <c r="I33">
        <f>VLOOKUP(C33,[1]人员表!$D:$G,4,FALSE)</f>
        <v>1600</v>
      </c>
      <c r="J33">
        <f t="shared" si="0"/>
        <v>12400</v>
      </c>
      <c r="K33" s="3" t="s">
        <v>50</v>
      </c>
    </row>
    <row r="34" spans="1:11" x14ac:dyDescent="0.25">
      <c r="A34" t="s">
        <v>41</v>
      </c>
      <c r="B34" t="s">
        <v>41</v>
      </c>
      <c r="C34" t="s">
        <v>42</v>
      </c>
      <c r="D34" t="s">
        <v>2</v>
      </c>
      <c r="E34" t="s">
        <v>15</v>
      </c>
      <c r="F34" t="s">
        <v>43</v>
      </c>
      <c r="G34" t="s">
        <v>2</v>
      </c>
      <c r="H34">
        <v>67</v>
      </c>
      <c r="I34">
        <f>VLOOKUP(C34,[1]人员表!$D:$G,4,FALSE)</f>
        <v>1800</v>
      </c>
      <c r="J34">
        <f t="shared" si="0"/>
        <v>15075</v>
      </c>
      <c r="K34" s="3" t="s">
        <v>50</v>
      </c>
    </row>
    <row r="35" spans="1:11" x14ac:dyDescent="0.25">
      <c r="A35" t="s">
        <v>41</v>
      </c>
      <c r="B35" t="s">
        <v>41</v>
      </c>
      <c r="C35" t="s">
        <v>42</v>
      </c>
      <c r="D35" t="s">
        <v>2</v>
      </c>
      <c r="E35" t="s">
        <v>15</v>
      </c>
      <c r="F35" t="s">
        <v>22</v>
      </c>
      <c r="G35" t="s">
        <v>2</v>
      </c>
      <c r="H35">
        <v>1</v>
      </c>
      <c r="I35">
        <f>VLOOKUP(C35,[1]人员表!$D:$G,4,FALSE)</f>
        <v>1800</v>
      </c>
      <c r="J35">
        <f t="shared" si="0"/>
        <v>225</v>
      </c>
      <c r="K35" s="3" t="s">
        <v>50</v>
      </c>
    </row>
    <row r="36" spans="1:11" x14ac:dyDescent="0.25">
      <c r="A36" t="s">
        <v>41</v>
      </c>
      <c r="B36" t="s">
        <v>41</v>
      </c>
      <c r="C36" t="s">
        <v>42</v>
      </c>
      <c r="D36" t="s">
        <v>2</v>
      </c>
      <c r="E36" t="s">
        <v>15</v>
      </c>
      <c r="F36" t="s">
        <v>44</v>
      </c>
      <c r="G36" t="s">
        <v>2</v>
      </c>
      <c r="H36">
        <v>32</v>
      </c>
      <c r="I36">
        <f>VLOOKUP(C36,[1]人员表!$D:$G,4,FALSE)</f>
        <v>1800</v>
      </c>
      <c r="J36">
        <f t="shared" si="0"/>
        <v>7200</v>
      </c>
      <c r="K36" s="3" t="s">
        <v>50</v>
      </c>
    </row>
    <row r="37" spans="1:11" x14ac:dyDescent="0.25">
      <c r="A37" t="s">
        <v>41</v>
      </c>
      <c r="B37" t="s">
        <v>41</v>
      </c>
      <c r="C37" t="s">
        <v>42</v>
      </c>
      <c r="D37" t="s">
        <v>2</v>
      </c>
      <c r="E37" t="s">
        <v>15</v>
      </c>
      <c r="F37" t="s">
        <v>20</v>
      </c>
      <c r="G37" t="s">
        <v>2</v>
      </c>
      <c r="H37">
        <v>24.5</v>
      </c>
      <c r="I37">
        <f>VLOOKUP(C37,[1]人员表!$D:$G,4,FALSE)</f>
        <v>1800</v>
      </c>
      <c r="J37">
        <f t="shared" si="0"/>
        <v>5512.5</v>
      </c>
      <c r="K37" s="3" t="s">
        <v>50</v>
      </c>
    </row>
    <row r="38" spans="1:11" x14ac:dyDescent="0.25">
      <c r="A38" t="s">
        <v>41</v>
      </c>
      <c r="B38" t="s">
        <v>41</v>
      </c>
      <c r="C38" t="s">
        <v>42</v>
      </c>
      <c r="D38" t="s">
        <v>2</v>
      </c>
      <c r="E38" t="s">
        <v>15</v>
      </c>
      <c r="F38" t="s">
        <v>45</v>
      </c>
      <c r="G38" t="s">
        <v>2</v>
      </c>
      <c r="H38">
        <v>60</v>
      </c>
      <c r="I38">
        <f>VLOOKUP(C38,[1]人员表!$D:$G,4,FALSE)</f>
        <v>1800</v>
      </c>
      <c r="J38">
        <f t="shared" si="0"/>
        <v>13500</v>
      </c>
      <c r="K38" s="3" t="s">
        <v>50</v>
      </c>
    </row>
    <row r="39" spans="1:11" x14ac:dyDescent="0.25">
      <c r="A39" t="s">
        <v>41</v>
      </c>
      <c r="B39" t="s">
        <v>41</v>
      </c>
      <c r="C39" t="s">
        <v>42</v>
      </c>
      <c r="D39" t="s">
        <v>2</v>
      </c>
      <c r="E39" t="s">
        <v>15</v>
      </c>
      <c r="F39" t="s">
        <v>19</v>
      </c>
      <c r="G39" t="s">
        <v>2</v>
      </c>
      <c r="H39">
        <v>2.5</v>
      </c>
      <c r="I39">
        <f>VLOOKUP(C39,[1]人员表!$D:$G,4,FALSE)</f>
        <v>1800</v>
      </c>
      <c r="J39">
        <f t="shared" si="0"/>
        <v>562.5</v>
      </c>
      <c r="K39" s="3" t="s">
        <v>50</v>
      </c>
    </row>
    <row r="40" spans="1:11" x14ac:dyDescent="0.25">
      <c r="A40" t="s">
        <v>41</v>
      </c>
      <c r="B40" t="s">
        <v>41</v>
      </c>
      <c r="C40" t="s">
        <v>42</v>
      </c>
      <c r="D40" t="s">
        <v>2</v>
      </c>
      <c r="E40" t="s">
        <v>15</v>
      </c>
      <c r="F40" t="s">
        <v>46</v>
      </c>
      <c r="G40" t="s">
        <v>2</v>
      </c>
      <c r="H40">
        <v>4</v>
      </c>
      <c r="I40">
        <f>VLOOKUP(C40,[1]人员表!$D:$G,4,FALSE)</f>
        <v>1800</v>
      </c>
      <c r="J40">
        <f t="shared" si="0"/>
        <v>900</v>
      </c>
      <c r="K40" s="3" t="s">
        <v>50</v>
      </c>
    </row>
    <row r="41" spans="1:11" x14ac:dyDescent="0.25">
      <c r="A41" t="s">
        <v>41</v>
      </c>
      <c r="B41" t="s">
        <v>41</v>
      </c>
      <c r="C41" t="s">
        <v>42</v>
      </c>
      <c r="D41" t="s">
        <v>2</v>
      </c>
      <c r="E41" t="s">
        <v>15</v>
      </c>
      <c r="F41" t="s">
        <v>47</v>
      </c>
      <c r="G41" t="s">
        <v>2</v>
      </c>
      <c r="H41">
        <v>10</v>
      </c>
      <c r="I41">
        <f>VLOOKUP(C41,[1]人员表!$D:$G,4,FALSE)</f>
        <v>1800</v>
      </c>
      <c r="J41">
        <f t="shared" si="0"/>
        <v>2250</v>
      </c>
      <c r="K41" s="3" t="s">
        <v>50</v>
      </c>
    </row>
    <row r="42" spans="1:11" x14ac:dyDescent="0.25">
      <c r="A42" t="s">
        <v>41</v>
      </c>
      <c r="B42" t="s">
        <v>41</v>
      </c>
      <c r="C42" t="s">
        <v>42</v>
      </c>
      <c r="D42" t="s">
        <v>2</v>
      </c>
      <c r="E42" t="s">
        <v>15</v>
      </c>
      <c r="F42" t="s">
        <v>48</v>
      </c>
      <c r="G42" t="s">
        <v>2</v>
      </c>
      <c r="H42">
        <v>4</v>
      </c>
      <c r="I42">
        <f>VLOOKUP(C42,[1]人员表!$D:$G,4,FALSE)</f>
        <v>1800</v>
      </c>
      <c r="J42">
        <f t="shared" si="0"/>
        <v>900</v>
      </c>
      <c r="K42" s="3" t="s">
        <v>50</v>
      </c>
    </row>
  </sheetData>
  <autoFilter ref="A1:K42" xr:uid="{00000000-0001-0000-01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Shihao Zhao 赵世豪</cp:lastModifiedBy>
  <dcterms:created xsi:type="dcterms:W3CDTF">2025-07-15T01:57:28Z</dcterms:created>
  <dcterms:modified xsi:type="dcterms:W3CDTF">2025-08-01T06:50:06Z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63077EE593BC4C8089A38207F0EC2C23_12</vt:lpwstr>
  </property>
  <property fmtid="{D5CDD505-2E9C-101B-9397-08002B2CF9AE}" pid="3" name="KSOProductBuildVer">
    <vt:lpwstr>2052-12.1.0.21915</vt:lpwstr>
  </property>
</Properties>
</file>