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2025Q3\华北航线\"/>
    </mc:Choice>
  </mc:AlternateContent>
  <xr:revisionPtr revIDLastSave="0" documentId="13_ncr:1_{A32A6149-409D-4724-A428-4C79FC1CEDEC}" xr6:coauthVersionLast="47" xr6:coauthVersionMax="47" xr10:uidLastSave="{00000000-0000-0000-0000-000000000000}"/>
  <bookViews>
    <workbookView xWindow="19090" yWindow="-110" windowWidth="19420" windowHeight="10300" xr2:uid="{4A5F3307-479D-4B8B-9443-8D2C18215A26}"/>
  </bookViews>
  <sheets>
    <sheet name="Sheet1" sheetId="1" r:id="rId1"/>
    <sheet name="Sheet2" sheetId="2" r:id="rId2"/>
  </sheets>
  <definedNames>
    <definedName name="_xlnm._FilterDatabase" localSheetId="0" hidden="1">Sheet1!$A$2:$K$94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1" l="1"/>
  <c r="J116" i="1"/>
  <c r="J114" i="1"/>
  <c r="A82" i="1"/>
  <c r="A83" i="1"/>
  <c r="A105" i="1"/>
  <c r="A54" i="1"/>
  <c r="A94" i="1"/>
  <c r="A39" i="1"/>
  <c r="A40" i="1"/>
  <c r="A41" i="1"/>
  <c r="A47" i="1"/>
  <c r="A48" i="1"/>
  <c r="A49" i="1"/>
  <c r="A50" i="1"/>
  <c r="A33" i="1"/>
  <c r="A34" i="1"/>
  <c r="A35" i="1"/>
  <c r="A36" i="1"/>
  <c r="A37" i="1"/>
  <c r="A38" i="1"/>
  <c r="A42" i="1"/>
  <c r="A43" i="1"/>
  <c r="A44" i="1"/>
  <c r="A45" i="1"/>
  <c r="A46" i="1"/>
  <c r="A25" i="1"/>
  <c r="A30" i="1"/>
  <c r="A31" i="1"/>
  <c r="A32" i="1"/>
  <c r="A17" i="1"/>
  <c r="A75" i="1"/>
  <c r="A72" i="1"/>
  <c r="A73" i="1"/>
  <c r="A74" i="1"/>
  <c r="A76" i="1"/>
  <c r="A64" i="1"/>
  <c r="A65" i="1"/>
  <c r="A66" i="1"/>
  <c r="A67" i="1"/>
  <c r="A68" i="1"/>
  <c r="A69" i="1"/>
  <c r="A70" i="1"/>
  <c r="A71" i="1"/>
  <c r="A61" i="1"/>
  <c r="A62" i="1"/>
  <c r="A63" i="1"/>
  <c r="A20" i="1"/>
  <c r="A18" i="1"/>
  <c r="A19" i="1"/>
  <c r="A14" i="1"/>
  <c r="A15" i="1"/>
  <c r="A16" i="1"/>
  <c r="A12" i="1"/>
  <c r="A4" i="1"/>
  <c r="A5" i="1"/>
  <c r="A6" i="1"/>
  <c r="A7" i="1"/>
  <c r="A8" i="1"/>
  <c r="A9" i="1"/>
  <c r="A10" i="1"/>
  <c r="A11" i="1"/>
  <c r="A13" i="1"/>
  <c r="A21" i="1"/>
  <c r="A22" i="1"/>
  <c r="A23" i="1"/>
  <c r="A24" i="1"/>
  <c r="A26" i="1"/>
  <c r="A27" i="1"/>
  <c r="A28" i="1"/>
  <c r="A29" i="1"/>
  <c r="A51" i="1"/>
  <c r="A52" i="1"/>
  <c r="A55" i="1"/>
  <c r="A56" i="1"/>
  <c r="A57" i="1"/>
  <c r="A59" i="1"/>
  <c r="A60" i="1"/>
  <c r="A77" i="1"/>
  <c r="A78" i="1"/>
  <c r="A79" i="1"/>
  <c r="A80" i="1"/>
  <c r="A81" i="1"/>
  <c r="A84" i="1"/>
  <c r="A85" i="1"/>
  <c r="A86" i="1"/>
  <c r="A87" i="1"/>
  <c r="A88" i="1"/>
  <c r="A89" i="1"/>
  <c r="A90" i="1"/>
  <c r="A91" i="1"/>
  <c r="A92" i="1"/>
  <c r="A93" i="1"/>
  <c r="A98" i="1"/>
  <c r="A99" i="1"/>
  <c r="A100" i="1"/>
  <c r="A101" i="1"/>
  <c r="A102" i="1"/>
  <c r="A103" i="1"/>
  <c r="A104" i="1"/>
  <c r="A106" i="1"/>
  <c r="A107" i="1"/>
  <c r="A108" i="1"/>
  <c r="A109" i="1"/>
  <c r="A110" i="1"/>
  <c r="A97" i="1"/>
  <c r="A3" i="1"/>
</calcChain>
</file>

<file path=xl/sharedStrings.xml><?xml version="1.0" encoding="utf-8"?>
<sst xmlns="http://schemas.openxmlformats.org/spreadsheetml/2006/main" count="449" uniqueCount="272">
  <si>
    <t>序号</t>
  </si>
  <si>
    <t>模块</t>
  </si>
  <si>
    <t>一级功能</t>
    <phoneticPr fontId="2" type="noConversion"/>
  </si>
  <si>
    <t>二级功能</t>
    <phoneticPr fontId="2" type="noConversion"/>
  </si>
  <si>
    <t>三级功能</t>
    <phoneticPr fontId="2" type="noConversion"/>
  </si>
  <si>
    <t>功能描述</t>
  </si>
  <si>
    <t>优先级</t>
  </si>
  <si>
    <t>上传TSM</t>
    <phoneticPr fontId="1" type="noConversion"/>
  </si>
  <si>
    <t>四级功能</t>
    <phoneticPr fontId="2" type="noConversion"/>
  </si>
  <si>
    <t>排故方案确认</t>
    <phoneticPr fontId="1" type="noConversion"/>
  </si>
  <si>
    <t>角色</t>
    <phoneticPr fontId="1" type="noConversion"/>
  </si>
  <si>
    <t>标准排故方案发布</t>
    <phoneticPr fontId="1" type="noConversion"/>
  </si>
  <si>
    <t>故障上报</t>
    <phoneticPr fontId="1" type="noConversion"/>
  </si>
  <si>
    <t>现场上报</t>
    <phoneticPr fontId="1" type="noConversion"/>
  </si>
  <si>
    <t>排查方案推荐</t>
    <phoneticPr fontId="1" type="noConversion"/>
  </si>
  <si>
    <t>排查方案编辑</t>
    <phoneticPr fontId="1" type="noConversion"/>
  </si>
  <si>
    <t>排查流程调整</t>
    <phoneticPr fontId="1" type="noConversion"/>
  </si>
  <si>
    <t>方案内容（文字）调整</t>
    <phoneticPr fontId="1" type="noConversion"/>
  </si>
  <si>
    <t>现场维修</t>
    <phoneticPr fontId="1" type="noConversion"/>
  </si>
  <si>
    <t>维修过程记录</t>
    <phoneticPr fontId="1" type="noConversion"/>
  </si>
  <si>
    <t>维修审结</t>
    <phoneticPr fontId="1" type="noConversion"/>
  </si>
  <si>
    <t>现场维修问题管理</t>
    <phoneticPr fontId="1" type="noConversion"/>
  </si>
  <si>
    <t>问题跟踪</t>
    <phoneticPr fontId="1" type="noConversion"/>
  </si>
  <si>
    <t>维修工作评估</t>
    <phoneticPr fontId="1" type="noConversion"/>
  </si>
  <si>
    <t>维修工作归档</t>
    <phoneticPr fontId="1" type="noConversion"/>
  </si>
  <si>
    <t>角色管理</t>
    <phoneticPr fontId="1" type="noConversion"/>
  </si>
  <si>
    <t>消息管理</t>
    <phoneticPr fontId="1" type="noConversion"/>
  </si>
  <si>
    <t>华北航线功能清单</t>
    <phoneticPr fontId="2" type="noConversion"/>
  </si>
  <si>
    <t>维修流程执行</t>
    <phoneticPr fontId="1" type="noConversion"/>
  </si>
  <si>
    <t>上传维修现场资料</t>
    <phoneticPr fontId="1" type="noConversion"/>
  </si>
  <si>
    <t>新增角色</t>
    <phoneticPr fontId="1" type="noConversion"/>
  </si>
  <si>
    <t>角色基础信息</t>
    <phoneticPr fontId="1" type="noConversion"/>
  </si>
  <si>
    <t>编辑角色</t>
    <phoneticPr fontId="1" type="noConversion"/>
  </si>
  <si>
    <t>角色权限</t>
    <phoneticPr fontId="1" type="noConversion"/>
  </si>
  <si>
    <t>相关用户</t>
    <phoneticPr fontId="1" type="noConversion"/>
  </si>
  <si>
    <t>修改基础信息</t>
    <phoneticPr fontId="1" type="noConversion"/>
  </si>
  <si>
    <t>修改权限</t>
    <phoneticPr fontId="1" type="noConversion"/>
  </si>
  <si>
    <t>修改相关用户</t>
    <phoneticPr fontId="1" type="noConversion"/>
  </si>
  <si>
    <t>删除角色</t>
    <phoneticPr fontId="1" type="noConversion"/>
  </si>
  <si>
    <t>用户管理</t>
    <phoneticPr fontId="1" type="noConversion"/>
  </si>
  <si>
    <t>新增用户</t>
    <phoneticPr fontId="1" type="noConversion"/>
  </si>
  <si>
    <t>用户基础信息</t>
    <phoneticPr fontId="1" type="noConversion"/>
  </si>
  <si>
    <t>用户所属角色</t>
    <phoneticPr fontId="1" type="noConversion"/>
  </si>
  <si>
    <t>修改用户密码</t>
    <phoneticPr fontId="1" type="noConversion"/>
  </si>
  <si>
    <t>编辑用户</t>
    <phoneticPr fontId="1" type="noConversion"/>
  </si>
  <si>
    <t>编辑用户状态</t>
    <phoneticPr fontId="1" type="noConversion"/>
  </si>
  <si>
    <t>消息公告</t>
    <phoneticPr fontId="1" type="noConversion"/>
  </si>
  <si>
    <t>消息溯源</t>
    <phoneticPr fontId="1" type="noConversion"/>
  </si>
  <si>
    <t>批量已读</t>
    <phoneticPr fontId="1" type="noConversion"/>
  </si>
  <si>
    <t>消息分类</t>
    <phoneticPr fontId="1" type="noConversion"/>
  </si>
  <si>
    <t>消息通知</t>
    <phoneticPr fontId="1" type="noConversion"/>
  </si>
  <si>
    <t>消息状态分类</t>
    <phoneticPr fontId="1" type="noConversion"/>
  </si>
  <si>
    <t>消息通知类型分类</t>
    <phoneticPr fontId="1" type="noConversion"/>
  </si>
  <si>
    <t>待办管理</t>
    <phoneticPr fontId="1" type="noConversion"/>
  </si>
  <si>
    <t>执行待办</t>
    <phoneticPr fontId="1" type="noConversion"/>
  </si>
  <si>
    <t>自动解析TSM为流程图</t>
    <phoneticPr fontId="1" type="noConversion"/>
  </si>
  <si>
    <t>翻译成中文排故方案</t>
    <phoneticPr fontId="1" type="noConversion"/>
  </si>
  <si>
    <t>流程图编辑</t>
    <phoneticPr fontId="1" type="noConversion"/>
  </si>
  <si>
    <t>新增节点</t>
    <phoneticPr fontId="1" type="noConversion"/>
  </si>
  <si>
    <t>删除节点</t>
    <phoneticPr fontId="1" type="noConversion"/>
  </si>
  <si>
    <t>修改节点中描述</t>
    <phoneticPr fontId="1" type="noConversion"/>
  </si>
  <si>
    <t>拖拽修改节点间关系</t>
    <phoneticPr fontId="1" type="noConversion"/>
  </si>
  <si>
    <t>翻译内容编辑</t>
    <phoneticPr fontId="1" type="noConversion"/>
  </si>
  <si>
    <t>排故方案版本管理</t>
    <phoneticPr fontId="1" type="noConversion"/>
  </si>
  <si>
    <t>输入故障描述</t>
    <phoneticPr fontId="1" type="noConversion"/>
  </si>
  <si>
    <t>新增新版本排故方案</t>
    <phoneticPr fontId="1" type="noConversion"/>
  </si>
  <si>
    <t>逐条执行维修方案</t>
    <phoneticPr fontId="1" type="noConversion"/>
  </si>
  <si>
    <t>完工签署</t>
    <phoneticPr fontId="1" type="noConversion"/>
  </si>
  <si>
    <t>智能判定完工</t>
    <phoneticPr fontId="1" type="noConversion"/>
  </si>
  <si>
    <t>补充方案插入原方案</t>
    <phoneticPr fontId="1" type="noConversion"/>
  </si>
  <si>
    <t>技术支援完成确认并关闭</t>
    <phoneticPr fontId="1" type="noConversion"/>
  </si>
  <si>
    <t>维修完成确认</t>
    <phoneticPr fontId="1" type="noConversion"/>
  </si>
  <si>
    <t>流程图编辑</t>
    <phoneticPr fontId="1" type="noConversion"/>
  </si>
  <si>
    <t>翻译内容编辑</t>
    <phoneticPr fontId="1" type="noConversion"/>
  </si>
  <si>
    <t>提交审核</t>
    <phoneticPr fontId="1" type="noConversion"/>
  </si>
  <si>
    <t>系统推荐排故方案</t>
    <phoneticPr fontId="1" type="noConversion"/>
  </si>
  <si>
    <t>展示推荐排故方案详情</t>
    <phoneticPr fontId="1" type="noConversion"/>
  </si>
  <si>
    <t>拆解为工作条目</t>
    <phoneticPr fontId="1" type="noConversion"/>
  </si>
  <si>
    <t>发布确认提醒</t>
    <phoneticPr fontId="1" type="noConversion"/>
  </si>
  <si>
    <t>故障管理</t>
    <phoneticPr fontId="1" type="noConversion"/>
  </si>
  <si>
    <t>标准排故方案管理</t>
    <phoneticPr fontId="1" type="noConversion"/>
  </si>
  <si>
    <t>上传TSM</t>
    <phoneticPr fontId="1" type="noConversion"/>
  </si>
  <si>
    <t>编辑解析的排故方案</t>
    <phoneticPr fontId="1" type="noConversion"/>
  </si>
  <si>
    <t>新增标准排故方案</t>
    <phoneticPr fontId="1" type="noConversion"/>
  </si>
  <si>
    <t>解析TSM</t>
    <phoneticPr fontId="1" type="noConversion"/>
  </si>
  <si>
    <t>编辑标准排故方案</t>
    <phoneticPr fontId="1" type="noConversion"/>
  </si>
  <si>
    <t>保存</t>
    <phoneticPr fontId="1" type="noConversion"/>
  </si>
  <si>
    <t>查看排故方案</t>
    <phoneticPr fontId="1" type="noConversion"/>
  </si>
  <si>
    <t>查看排故方案流程图</t>
    <phoneticPr fontId="1" type="noConversion"/>
  </si>
  <si>
    <t>查看中英文排故手册</t>
    <phoneticPr fontId="1" type="noConversion"/>
  </si>
  <si>
    <t>步骤/翻译同步骤选中关联</t>
    <phoneticPr fontId="1" type="noConversion"/>
  </si>
  <si>
    <t>修订标准排故方案</t>
    <phoneticPr fontId="1" type="noConversion"/>
  </si>
  <si>
    <t>修订确认并提交</t>
    <phoneticPr fontId="1" type="noConversion"/>
  </si>
  <si>
    <t>旧版本详情</t>
    <phoneticPr fontId="1" type="noConversion"/>
  </si>
  <si>
    <t>发布新版本排故方案</t>
    <phoneticPr fontId="1" type="noConversion"/>
  </si>
  <si>
    <t>审核管理</t>
    <phoneticPr fontId="1" type="noConversion"/>
  </si>
  <si>
    <t>标准排故方案审核</t>
    <phoneticPr fontId="1" type="noConversion"/>
  </si>
  <si>
    <t>故障排查方案审核</t>
    <phoneticPr fontId="1" type="noConversion"/>
  </si>
  <si>
    <t>方案详情</t>
    <phoneticPr fontId="1" type="noConversion"/>
  </si>
  <si>
    <t>审核通过</t>
    <phoneticPr fontId="1" type="noConversion"/>
  </si>
  <si>
    <t>审核不通过</t>
    <phoneticPr fontId="1" type="noConversion"/>
  </si>
  <si>
    <t>确认签字</t>
    <phoneticPr fontId="1" type="noConversion"/>
  </si>
  <si>
    <t>提出修改意见</t>
    <phoneticPr fontId="1" type="noConversion"/>
  </si>
  <si>
    <t>直接修改</t>
    <phoneticPr fontId="1" type="noConversion"/>
  </si>
  <si>
    <t>审核通过批准签字</t>
    <phoneticPr fontId="1" type="noConversion"/>
  </si>
  <si>
    <t>维修意见</t>
    <phoneticPr fontId="1" type="noConversion"/>
  </si>
  <si>
    <t>排查方案信息</t>
    <phoneticPr fontId="1" type="noConversion"/>
  </si>
  <si>
    <t>故障详情信息</t>
    <phoneticPr fontId="1" type="noConversion"/>
  </si>
  <si>
    <t>评估等级</t>
    <phoneticPr fontId="1" type="noConversion"/>
  </si>
  <si>
    <t>高质量方案存档</t>
    <phoneticPr fontId="1" type="noConversion"/>
  </si>
  <si>
    <t>检索排故方案</t>
    <phoneticPr fontId="1" type="noConversion"/>
  </si>
  <si>
    <t>排故方案流程图</t>
    <phoneticPr fontId="1" type="noConversion"/>
  </si>
  <si>
    <t>中英文排故手册</t>
    <phoneticPr fontId="1" type="noConversion"/>
  </si>
  <si>
    <t>修订排查方案</t>
    <phoneticPr fontId="1" type="noConversion"/>
  </si>
  <si>
    <t>新版本详情</t>
    <phoneticPr fontId="1" type="noConversion"/>
  </si>
  <si>
    <t>方案确认</t>
    <phoneticPr fontId="1" type="noConversion"/>
  </si>
  <si>
    <t>工单指派信息</t>
    <phoneticPr fontId="1" type="noConversion"/>
  </si>
  <si>
    <t>指派人信息</t>
    <phoneticPr fontId="1" type="noConversion"/>
  </si>
  <si>
    <t>维修执行计划表</t>
    <phoneticPr fontId="1" type="noConversion"/>
  </si>
  <si>
    <t>维修工单详情</t>
    <phoneticPr fontId="1" type="noConversion"/>
  </si>
  <si>
    <t>添加批注</t>
    <phoneticPr fontId="1" type="noConversion"/>
  </si>
  <si>
    <t>待审核通知</t>
    <phoneticPr fontId="1" type="noConversion"/>
  </si>
  <si>
    <t>待维修通知</t>
    <phoneticPr fontId="1" type="noConversion"/>
  </si>
  <si>
    <t>任务即将到期通知</t>
    <phoneticPr fontId="1" type="noConversion"/>
  </si>
  <si>
    <t>任务过期通知</t>
    <phoneticPr fontId="1" type="noConversion"/>
  </si>
  <si>
    <t>待排故通知</t>
    <phoneticPr fontId="1" type="noConversion"/>
  </si>
  <si>
    <t>已完成待办</t>
    <phoneticPr fontId="1" type="noConversion"/>
  </si>
  <si>
    <t>待办详情</t>
    <phoneticPr fontId="1" type="noConversion"/>
  </si>
  <si>
    <t>待办事件详情</t>
    <phoneticPr fontId="1" type="noConversion"/>
  </si>
  <si>
    <t>待办基础信息</t>
    <phoneticPr fontId="1" type="noConversion"/>
  </si>
  <si>
    <t>后台工程师</t>
    <phoneticPr fontId="1" type="noConversion"/>
  </si>
  <si>
    <t>ALL</t>
    <phoneticPr fontId="1" type="noConversion"/>
  </si>
  <si>
    <t>审核工程师</t>
    <phoneticPr fontId="1" type="noConversion"/>
  </si>
  <si>
    <t>维修工程师</t>
    <phoneticPr fontId="1" type="noConversion"/>
  </si>
  <si>
    <t>排故工程师</t>
    <phoneticPr fontId="1" type="noConversion"/>
  </si>
  <si>
    <t>标准方案待修正提醒</t>
    <phoneticPr fontId="1" type="noConversion"/>
  </si>
  <si>
    <t>未完成待办</t>
    <phoneticPr fontId="1" type="noConversion"/>
  </si>
  <si>
    <t>待办分类</t>
    <phoneticPr fontId="1" type="noConversion"/>
  </si>
  <si>
    <t>技术支援</t>
    <phoneticPr fontId="1" type="noConversion"/>
  </si>
  <si>
    <t>申请技术支援</t>
    <phoneticPr fontId="1" type="noConversion"/>
  </si>
  <si>
    <t>系统</t>
    <phoneticPr fontId="1" type="noConversion"/>
  </si>
  <si>
    <t>现场人员</t>
    <phoneticPr fontId="1" type="noConversion"/>
  </si>
  <si>
    <t>排查方案发布</t>
    <phoneticPr fontId="1" type="noConversion"/>
  </si>
  <si>
    <t>手动上传.sgml文件格式的排故手册</t>
    <phoneticPr fontId="1" type="noConversion"/>
  </si>
  <si>
    <t>支持将排故手册按步骤自动解析为流程图</t>
    <phoneticPr fontId="1" type="noConversion"/>
  </si>
  <si>
    <t>支持将英文排故手册自动翻译成中午手册</t>
    <phoneticPr fontId="1" type="noConversion"/>
  </si>
  <si>
    <t>对自动解析出的标准排故方案编辑修正时支持新增节点，及节点内容，且同步新增该节点详情内容</t>
    <phoneticPr fontId="1" type="noConversion"/>
  </si>
  <si>
    <t>编辑时支持删除某一节点及内容</t>
    <phoneticPr fontId="1" type="noConversion"/>
  </si>
  <si>
    <t>支持通过拖拉拽或编辑流程图节点间的连线修改节点关系</t>
    <phoneticPr fontId="1" type="noConversion"/>
  </si>
  <si>
    <t>审核工程师完成审核后，确认发布标准排故方案</t>
    <phoneticPr fontId="1" type="noConversion"/>
  </si>
  <si>
    <t>可查看解析后的标准排故方案流程图详情</t>
    <phoneticPr fontId="1" type="noConversion"/>
  </si>
  <si>
    <t>流程图节点中的内容支持编辑修改</t>
    <phoneticPr fontId="1" type="noConversion"/>
  </si>
  <si>
    <t>对自动翻译的中文排故手册进行校准</t>
    <phoneticPr fontId="1" type="noConversion"/>
  </si>
  <si>
    <t>完成编辑的排故方案直接提交</t>
    <phoneticPr fontId="1" type="noConversion"/>
  </si>
  <si>
    <t>完成编辑的排故方案暂时保存，并不提交</t>
    <phoneticPr fontId="1" type="noConversion"/>
  </si>
  <si>
    <t>支持检索需要的排故方案进行查看</t>
    <phoneticPr fontId="1" type="noConversion"/>
  </si>
  <si>
    <t>支持对故障排查方案的流程图进行修改</t>
    <phoneticPr fontId="1" type="noConversion"/>
  </si>
  <si>
    <t>支持对故障排查方案的中文内容进行修改</t>
    <phoneticPr fontId="1" type="noConversion"/>
  </si>
  <si>
    <t>可查看解析后的标准排故方案中英文排故手册详情</t>
    <phoneticPr fontId="1" type="noConversion"/>
  </si>
  <si>
    <t>支持对标准排故方案的流程图进行修改</t>
    <phoneticPr fontId="1" type="noConversion"/>
  </si>
  <si>
    <t>支持对标准排故方案的中文内容进行修改</t>
    <phoneticPr fontId="1" type="noConversion"/>
  </si>
  <si>
    <t>完成修订后确认提交给审核工程师再次进行审核</t>
    <phoneticPr fontId="1" type="noConversion"/>
  </si>
  <si>
    <t>在对应的排故方案下新增新版本排故方案，同样通过TSM的上传</t>
    <phoneticPr fontId="1" type="noConversion"/>
  </si>
  <si>
    <t>同前述的”编辑标准排故方案“内容</t>
    <phoneticPr fontId="1" type="noConversion"/>
  </si>
  <si>
    <t>完成编辑后提交给审核工程师进行审核</t>
    <phoneticPr fontId="1" type="noConversion"/>
  </si>
  <si>
    <t>审核完成后由审核工程师直接发布</t>
    <phoneticPr fontId="1" type="noConversion"/>
  </si>
  <si>
    <t>查看方案时默认展示新版本</t>
    <phoneticPr fontId="1" type="noConversion"/>
  </si>
  <si>
    <t>支持对方案旧版本的详情查看</t>
    <phoneticPr fontId="1" type="noConversion"/>
  </si>
  <si>
    <t>、</t>
    <phoneticPr fontId="1" type="noConversion"/>
  </si>
  <si>
    <t>现场地勤上报现场故障情况</t>
    <phoneticPr fontId="1" type="noConversion"/>
  </si>
  <si>
    <t>将现场描述的故障进行梳理，并输入系统中</t>
    <phoneticPr fontId="1" type="noConversion"/>
  </si>
  <si>
    <t>系统通过对输入系统的描述进行分析，并匹配合适的标准排故方案，默认推荐top5的排故方案，如果在这其中无合适方案，支持换一批推荐方案</t>
    <phoneticPr fontId="1" type="noConversion"/>
  </si>
  <si>
    <t>展示推荐方案的TSM文档（中英文）</t>
    <phoneticPr fontId="1" type="noConversion"/>
  </si>
  <si>
    <t>展示推荐方案的流程图</t>
    <phoneticPr fontId="1" type="noConversion"/>
  </si>
  <si>
    <t>再查看中英文排故手册时，中英文对照展示，选择中文某一步骤，对应的英文原文同步高亮</t>
    <phoneticPr fontId="1" type="noConversion"/>
  </si>
  <si>
    <t>查看推荐方案时，中英文对照展示，选择中文某一步骤，对应的英文原文同步高亮</t>
    <phoneticPr fontId="1" type="noConversion"/>
  </si>
  <si>
    <t>选中最优排故方案</t>
    <phoneticPr fontId="1" type="noConversion"/>
  </si>
  <si>
    <t>从推荐的排故方案中选择最优的排故方案，并基于这个方案的基础上，基于当前故障做修改，形成排查方案</t>
    <phoneticPr fontId="1" type="noConversion"/>
  </si>
  <si>
    <t>编辑修正时支持新增节点，及节点内容，且同步新增该节点详情内容</t>
    <phoneticPr fontId="1" type="noConversion"/>
  </si>
  <si>
    <t>支持编辑文本方案中的中文内容</t>
    <phoneticPr fontId="1" type="noConversion"/>
  </si>
  <si>
    <t>支持在方案中每一项中添加批注，展示不执行项、必做项</t>
    <phoneticPr fontId="1" type="noConversion"/>
  </si>
  <si>
    <t>完成编辑的故障排查方案暂时保存，并不提交</t>
    <phoneticPr fontId="1" type="noConversion"/>
  </si>
  <si>
    <t>完成编辑的故障排查方案直接提交</t>
    <phoneticPr fontId="1" type="noConversion"/>
  </si>
  <si>
    <t>故障排查方案发布时需拆解为工作条目</t>
    <phoneticPr fontId="1" type="noConversion"/>
  </si>
  <si>
    <t>完成确认后发布，发布需确认</t>
    <phoneticPr fontId="1" type="noConversion"/>
  </si>
  <si>
    <t>维修工程师执行时，查看方案详情</t>
    <phoneticPr fontId="1" type="noConversion"/>
  </si>
  <si>
    <t>支持查看指派人和被指派人信息</t>
    <phoneticPr fontId="1" type="noConversion"/>
  </si>
  <si>
    <t>支持查看维修执行时的时间计划表，包含计划开始时间、计划最后执行时间</t>
    <phoneticPr fontId="1" type="noConversion"/>
  </si>
  <si>
    <t>记录维修过程中的所有执行信息，以及执行实际开始时间、实际结束时间等。</t>
    <phoneticPr fontId="1" type="noConversion"/>
  </si>
  <si>
    <t>维修工程师按条目执行维修方案</t>
    <phoneticPr fontId="1" type="noConversion"/>
  </si>
  <si>
    <t>上传维修现场的资料，包括文本、图片、视频等</t>
    <phoneticPr fontId="1" type="noConversion"/>
  </si>
  <si>
    <t>由系统按照完成情况，智能判定完工</t>
    <phoneticPr fontId="1" type="noConversion"/>
  </si>
  <si>
    <t>完工后，维修工程师签字确认</t>
    <phoneticPr fontId="1" type="noConversion"/>
  </si>
  <si>
    <t>在维修过程中遇到问题，支持申请技术支援，通过电话联系的方式</t>
    <phoneticPr fontId="1" type="noConversion"/>
  </si>
  <si>
    <t>维修任务下发后，维修工程师收到待维修任务通知</t>
    <phoneticPr fontId="1" type="noConversion"/>
  </si>
  <si>
    <t>后台工程师和排故工程师提交审核后，维修工程师收到待审核任务通知</t>
    <phoneticPr fontId="1" type="noConversion"/>
  </si>
  <si>
    <t>有故障上报后，排故工程师收到待排故任务通知</t>
    <phoneticPr fontId="1" type="noConversion"/>
  </si>
  <si>
    <t>标准方案完成审核后，如果有审核意见，则后台工程师收到待修改提醒</t>
    <phoneticPr fontId="1" type="noConversion"/>
  </si>
  <si>
    <t>任务快到最后完成期限了，收到任务即将到期通知</t>
    <phoneticPr fontId="1" type="noConversion"/>
  </si>
  <si>
    <t>任务过期了，收到任务过期通知</t>
    <phoneticPr fontId="1" type="noConversion"/>
  </si>
  <si>
    <t>新任务通知</t>
    <phoneticPr fontId="1" type="noConversion"/>
  </si>
  <si>
    <t>有新任务则收到新任务通知</t>
    <phoneticPr fontId="1" type="noConversion"/>
  </si>
  <si>
    <t>消息分类</t>
    <phoneticPr fontId="1" type="noConversion"/>
  </si>
  <si>
    <t>查看消息，可以溯源到任务</t>
    <phoneticPr fontId="1" type="noConversion"/>
  </si>
  <si>
    <t>可将消息批量已读</t>
    <phoneticPr fontId="1" type="noConversion"/>
  </si>
  <si>
    <t>消息根据急迫程度分为不同状态类型：</t>
    <phoneticPr fontId="1" type="noConversion"/>
  </si>
  <si>
    <t>查看待办的基础信息：来源、下发人信息、事件期限等等</t>
    <phoneticPr fontId="1" type="noConversion"/>
  </si>
  <si>
    <t>查看代办事件详情：待审核的方案、排故的故障描述等等</t>
    <phoneticPr fontId="1" type="noConversion"/>
  </si>
  <si>
    <t>可直接进入待执行的方案详情中进行处理。</t>
    <phoneticPr fontId="1" type="noConversion"/>
  </si>
  <si>
    <t>工程师收到需要支援的消息，查看方案详情</t>
    <phoneticPr fontId="1" type="noConversion"/>
  </si>
  <si>
    <t>技术支援申请方案详情</t>
    <phoneticPr fontId="1" type="noConversion"/>
  </si>
  <si>
    <t>查看现场排查情况</t>
    <phoneticPr fontId="1" type="noConversion"/>
  </si>
  <si>
    <t>查看现场维修情况</t>
    <phoneticPr fontId="1" type="noConversion"/>
  </si>
  <si>
    <t>补充方案</t>
    <phoneticPr fontId="1" type="noConversion"/>
  </si>
  <si>
    <t>新增补充方案，方案为工作条目</t>
    <phoneticPr fontId="1" type="noConversion"/>
  </si>
  <si>
    <t>将补充的工作条目插入原先方案中（可直接做为附件添加到原方案之后）</t>
    <phoneticPr fontId="1" type="noConversion"/>
  </si>
  <si>
    <t>技术支援完成后确认</t>
    <phoneticPr fontId="1" type="noConversion"/>
  </si>
  <si>
    <t>审核查看方案详情</t>
    <phoneticPr fontId="1" type="noConversion"/>
  </si>
  <si>
    <t>审核不通过，需提出修改建议给到后台工程师，便于修改</t>
    <phoneticPr fontId="1" type="noConversion"/>
  </si>
  <si>
    <t>审核不通过可直接修改</t>
    <phoneticPr fontId="1" type="noConversion"/>
  </si>
  <si>
    <t>审核确认通过，需确认签字</t>
    <phoneticPr fontId="1" type="noConversion"/>
  </si>
  <si>
    <t>审核不通过，需提出修改建议给到排故工程师，便于修改</t>
    <phoneticPr fontId="1" type="noConversion"/>
  </si>
  <si>
    <t>维修完成维修工程师提交后，审核工程师需给出维修意见</t>
    <phoneticPr fontId="1" type="noConversion"/>
  </si>
  <si>
    <t>如果无维修补充建议，需要确认完成签字</t>
    <phoneticPr fontId="1" type="noConversion"/>
  </si>
  <si>
    <t>如果维修有补充建议，需要将维修问题单独提出，以存档</t>
    <phoneticPr fontId="1" type="noConversion"/>
  </si>
  <si>
    <t>后台工程师需对维修方案及整个维修结果进行评估</t>
    <phoneticPr fontId="1" type="noConversion"/>
  </si>
  <si>
    <t>评估的高质量方案需要后续再次存档，以作后续排故时的方案指导</t>
    <phoneticPr fontId="1" type="noConversion"/>
  </si>
  <si>
    <t>维修结果归档时需要对应原先的故障描述详情</t>
    <phoneticPr fontId="1" type="noConversion"/>
  </si>
  <si>
    <t>维修结果归档时需要保存现场的排查方案</t>
    <phoneticPr fontId="1" type="noConversion"/>
  </si>
  <si>
    <t>维修过程（包括提交的文本、图片、视频等）都需要存档和记录</t>
    <phoneticPr fontId="1" type="noConversion"/>
  </si>
  <si>
    <t>已完成待办项目记录</t>
    <phoneticPr fontId="1" type="noConversion"/>
  </si>
  <si>
    <t>未完成待办按照下发时间以列表形式展示、</t>
    <phoneticPr fontId="1" type="noConversion"/>
  </si>
  <si>
    <t>角色岗位名称、角色描述、创建人、创建时间等</t>
    <phoneticPr fontId="1" type="noConversion"/>
  </si>
  <si>
    <t>该角色拥有的角色权限</t>
    <phoneticPr fontId="1" type="noConversion"/>
  </si>
  <si>
    <t>该角色的用户</t>
    <phoneticPr fontId="1" type="noConversion"/>
  </si>
  <si>
    <t>修改角色名称和描述</t>
    <phoneticPr fontId="1" type="noConversion"/>
  </si>
  <si>
    <t>修改角色拥有的权限</t>
    <phoneticPr fontId="1" type="noConversion"/>
  </si>
  <si>
    <t>新增或删除该角色下的用户</t>
    <phoneticPr fontId="1" type="noConversion"/>
  </si>
  <si>
    <t>删除该角色</t>
    <phoneticPr fontId="1" type="noConversion"/>
  </si>
  <si>
    <t>删除用户</t>
    <phoneticPr fontId="1" type="noConversion"/>
  </si>
  <si>
    <t>删除该用户</t>
    <phoneticPr fontId="1" type="noConversion"/>
  </si>
  <si>
    <t>可以禁用或重启该用户的权限</t>
    <phoneticPr fontId="1" type="noConversion"/>
  </si>
  <si>
    <t>包含账户、姓名、状态、部门、角色、创建时间等</t>
    <phoneticPr fontId="1" type="noConversion"/>
  </si>
  <si>
    <t>用户密码</t>
    <phoneticPr fontId="1" type="noConversion"/>
  </si>
  <si>
    <t>可协助修改用户密码</t>
    <phoneticPr fontId="1" type="noConversion"/>
  </si>
  <si>
    <t>赋予用户角色，也就是给其权限</t>
    <phoneticPr fontId="1" type="noConversion"/>
  </si>
  <si>
    <t>给用户初始密码</t>
    <phoneticPr fontId="1" type="noConversion"/>
  </si>
  <si>
    <t>填写需要新增权限用户的账户、填写姓名、部门等</t>
    <phoneticPr fontId="1" type="noConversion"/>
  </si>
  <si>
    <t>产品转化</t>
    <phoneticPr fontId="1" type="noConversion"/>
  </si>
  <si>
    <t>word,pdf，md，csv，ppt，excel——知识库</t>
    <phoneticPr fontId="1" type="noConversion"/>
  </si>
  <si>
    <t>设施运维字段</t>
    <phoneticPr fontId="1" type="noConversion"/>
  </si>
  <si>
    <t>工单执行记录</t>
    <phoneticPr fontId="1" type="noConversion"/>
  </si>
  <si>
    <t>P3</t>
  </si>
  <si>
    <t>P3</t>
    <phoneticPr fontId="1" type="noConversion"/>
  </si>
  <si>
    <t>P1</t>
  </si>
  <si>
    <t>P1</t>
    <phoneticPr fontId="1" type="noConversion"/>
  </si>
  <si>
    <t>保留原先的语言，大模型翻译，多种语言。</t>
    <phoneticPr fontId="1" type="noConversion"/>
  </si>
  <si>
    <t>P2</t>
  </si>
  <si>
    <t>P2</t>
    <phoneticPr fontId="1" type="noConversion"/>
  </si>
  <si>
    <t>可转化条目</t>
    <phoneticPr fontId="1" type="noConversion"/>
  </si>
  <si>
    <t>总数</t>
    <phoneticPr fontId="1" type="noConversion"/>
  </si>
  <si>
    <t>可转化占比</t>
    <phoneticPr fontId="1" type="noConversion"/>
  </si>
  <si>
    <t>总投入工时数量</t>
    <phoneticPr fontId="1" type="noConversion"/>
  </si>
  <si>
    <t>产品承担成本工时</t>
    <phoneticPr fontId="1" type="noConversion"/>
  </si>
  <si>
    <t>平均人天成本</t>
    <phoneticPr fontId="1" type="noConversion"/>
  </si>
  <si>
    <t>产品承担总成本</t>
    <phoneticPr fontId="1" type="noConversion"/>
  </si>
  <si>
    <t>小时</t>
    <phoneticPr fontId="1" type="noConversion"/>
  </si>
  <si>
    <t>单位</t>
    <phoneticPr fontId="1" type="noConversion"/>
  </si>
  <si>
    <t>条</t>
    <phoneticPr fontId="1" type="noConversion"/>
  </si>
  <si>
    <t>天</t>
    <phoneticPr fontId="1" type="noConversion"/>
  </si>
  <si>
    <t>元</t>
    <phoneticPr fontId="1" type="noConversion"/>
  </si>
  <si>
    <t>数据值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</si>
</sst>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169800</xdr:colOff>
      <xdr:row>16</xdr:row>
      <xdr:rowOff>132971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31F2127-D3D0-EC31-22DA-B159DBA9A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00000" cy="3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0C60-323D-443F-B41C-1E348DB13D51}">
  <dimension ref="A1:K118"/>
  <sheetViews>
    <sheetView tabSelected="1" zoomScale="70" zoomScaleNormal="70" workbookViewId="0">
      <selection activeCell="J63" sqref="J63:J65"/>
    </sheetView>
  </sheetViews>
  <sheetFormatPr defaultRowHeight="14" x14ac:dyDescent="0.3"/>
  <cols>
    <col min="1" max="1" width="4.83203125" bestFit="1" customWidth="1"/>
    <col min="2" max="2" width="18.25" bestFit="1" customWidth="1"/>
    <col min="3" max="3" width="17.33203125" customWidth="1"/>
    <col min="4" max="4" width="21.5" customWidth="1"/>
    <col min="5" max="5" width="26" style="4" customWidth="1"/>
    <col min="6" max="6" width="18.58203125" customWidth="1"/>
    <col min="7" max="7" width="13.33203125" customWidth="1"/>
    <col min="8" max="8" width="36" style="6" customWidth="1"/>
    <col min="9" max="9" width="10.33203125" customWidth="1"/>
  </cols>
  <sheetData>
    <row r="1" spans="1:11" x14ac:dyDescent="0.3">
      <c r="A1" s="29" t="s">
        <v>27</v>
      </c>
      <c r="B1" s="30"/>
      <c r="C1" s="30"/>
      <c r="D1" s="30"/>
      <c r="E1" s="30"/>
      <c r="F1" s="30"/>
      <c r="G1" s="30"/>
      <c r="H1" s="30"/>
      <c r="I1" s="30"/>
      <c r="J1" s="31"/>
    </row>
    <row r="2" spans="1:1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8</v>
      </c>
      <c r="G2" s="13" t="s">
        <v>10</v>
      </c>
      <c r="H2" s="13" t="s">
        <v>5</v>
      </c>
      <c r="I2" s="13" t="s">
        <v>6</v>
      </c>
      <c r="J2" s="13" t="s">
        <v>248</v>
      </c>
    </row>
    <row r="3" spans="1:11" x14ac:dyDescent="0.3">
      <c r="A3" s="14">
        <f>ROW()-2</f>
        <v>1</v>
      </c>
      <c r="B3" s="23" t="s">
        <v>80</v>
      </c>
      <c r="C3" s="23" t="s">
        <v>83</v>
      </c>
      <c r="D3" s="14" t="s">
        <v>7</v>
      </c>
      <c r="E3" s="14"/>
      <c r="F3" s="14"/>
      <c r="G3" s="14" t="s">
        <v>130</v>
      </c>
      <c r="H3" s="15" t="s">
        <v>143</v>
      </c>
      <c r="I3" s="14"/>
      <c r="J3" s="19" t="s">
        <v>255</v>
      </c>
      <c r="K3" t="s">
        <v>249</v>
      </c>
    </row>
    <row r="4" spans="1:11" x14ac:dyDescent="0.3">
      <c r="A4" s="14">
        <f t="shared" ref="A4:A94" si="0">ROW()-2</f>
        <v>2</v>
      </c>
      <c r="B4" s="23"/>
      <c r="C4" s="23"/>
      <c r="D4" s="23" t="s">
        <v>84</v>
      </c>
      <c r="E4" s="14" t="s">
        <v>55</v>
      </c>
      <c r="F4" s="14"/>
      <c r="G4" s="14" t="s">
        <v>140</v>
      </c>
      <c r="H4" s="15" t="s">
        <v>144</v>
      </c>
      <c r="I4" s="14"/>
      <c r="J4" s="3"/>
    </row>
    <row r="5" spans="1:11" x14ac:dyDescent="0.3">
      <c r="A5" s="14">
        <f t="shared" si="0"/>
        <v>3</v>
      </c>
      <c r="B5" s="23"/>
      <c r="C5" s="23"/>
      <c r="D5" s="23"/>
      <c r="E5" s="14" t="s">
        <v>56</v>
      </c>
      <c r="F5" s="14"/>
      <c r="G5" s="14" t="s">
        <v>140</v>
      </c>
      <c r="H5" s="15" t="s">
        <v>145</v>
      </c>
      <c r="I5" s="14"/>
      <c r="J5" s="20"/>
    </row>
    <row r="6" spans="1:11" ht="42" x14ac:dyDescent="0.3">
      <c r="A6" s="14">
        <f t="shared" si="0"/>
        <v>4</v>
      </c>
      <c r="B6" s="23"/>
      <c r="C6" s="23"/>
      <c r="D6" s="23" t="s">
        <v>85</v>
      </c>
      <c r="E6" s="23" t="s">
        <v>57</v>
      </c>
      <c r="F6" s="14" t="s">
        <v>58</v>
      </c>
      <c r="G6" s="14" t="s">
        <v>130</v>
      </c>
      <c r="H6" s="15" t="s">
        <v>146</v>
      </c>
      <c r="I6" s="14"/>
      <c r="J6" s="19"/>
    </row>
    <row r="7" spans="1:11" x14ac:dyDescent="0.3">
      <c r="A7" s="14">
        <f t="shared" si="0"/>
        <v>5</v>
      </c>
      <c r="B7" s="23"/>
      <c r="C7" s="23"/>
      <c r="D7" s="23"/>
      <c r="E7" s="23"/>
      <c r="F7" s="14" t="s">
        <v>59</v>
      </c>
      <c r="G7" s="14" t="s">
        <v>130</v>
      </c>
      <c r="H7" s="15" t="s">
        <v>147</v>
      </c>
      <c r="I7" s="14"/>
      <c r="J7" s="19"/>
    </row>
    <row r="8" spans="1:11" ht="28" x14ac:dyDescent="0.3">
      <c r="A8" s="14">
        <f t="shared" si="0"/>
        <v>6</v>
      </c>
      <c r="B8" s="23"/>
      <c r="C8" s="23"/>
      <c r="D8" s="23"/>
      <c r="E8" s="23"/>
      <c r="F8" s="14" t="s">
        <v>61</v>
      </c>
      <c r="G8" s="14" t="s">
        <v>130</v>
      </c>
      <c r="H8" s="15" t="s">
        <v>148</v>
      </c>
      <c r="I8" s="14"/>
      <c r="J8" s="19"/>
    </row>
    <row r="9" spans="1:11" x14ac:dyDescent="0.3">
      <c r="A9" s="14">
        <f t="shared" si="0"/>
        <v>7</v>
      </c>
      <c r="B9" s="23"/>
      <c r="C9" s="23"/>
      <c r="D9" s="23"/>
      <c r="E9" s="23"/>
      <c r="F9" s="14" t="s">
        <v>60</v>
      </c>
      <c r="G9" s="14" t="s">
        <v>130</v>
      </c>
      <c r="H9" s="15" t="s">
        <v>151</v>
      </c>
      <c r="I9" s="14"/>
      <c r="J9" s="19"/>
    </row>
    <row r="10" spans="1:11" x14ac:dyDescent="0.3">
      <c r="A10" s="14">
        <f t="shared" si="0"/>
        <v>8</v>
      </c>
      <c r="B10" s="23"/>
      <c r="C10" s="23"/>
      <c r="D10" s="23"/>
      <c r="E10" s="14" t="s">
        <v>62</v>
      </c>
      <c r="F10" s="14"/>
      <c r="G10" s="14" t="s">
        <v>130</v>
      </c>
      <c r="H10" s="15" t="s">
        <v>152</v>
      </c>
      <c r="I10" s="14"/>
      <c r="J10" s="19"/>
    </row>
    <row r="11" spans="1:11" x14ac:dyDescent="0.3">
      <c r="A11" s="14">
        <f t="shared" si="0"/>
        <v>9</v>
      </c>
      <c r="B11" s="23"/>
      <c r="C11" s="23"/>
      <c r="D11" s="23"/>
      <c r="E11" s="23" t="s">
        <v>9</v>
      </c>
      <c r="F11" s="14" t="s">
        <v>86</v>
      </c>
      <c r="G11" s="14" t="s">
        <v>130</v>
      </c>
      <c r="H11" s="15" t="s">
        <v>154</v>
      </c>
      <c r="I11" s="14"/>
      <c r="J11" s="19"/>
    </row>
    <row r="12" spans="1:11" x14ac:dyDescent="0.3">
      <c r="A12" s="14">
        <f t="shared" si="0"/>
        <v>10</v>
      </c>
      <c r="B12" s="23"/>
      <c r="C12" s="23"/>
      <c r="D12" s="23"/>
      <c r="E12" s="23"/>
      <c r="F12" s="14" t="s">
        <v>74</v>
      </c>
      <c r="G12" s="14" t="s">
        <v>130</v>
      </c>
      <c r="H12" s="15" t="s">
        <v>153</v>
      </c>
      <c r="I12" s="14"/>
      <c r="J12" s="19"/>
    </row>
    <row r="13" spans="1:11" ht="28" x14ac:dyDescent="0.3">
      <c r="A13" s="14">
        <f t="shared" si="0"/>
        <v>11</v>
      </c>
      <c r="B13" s="23"/>
      <c r="C13" s="23"/>
      <c r="D13" s="14" t="s">
        <v>11</v>
      </c>
      <c r="E13" s="14"/>
      <c r="F13" s="16"/>
      <c r="G13" s="14" t="s">
        <v>132</v>
      </c>
      <c r="H13" s="15" t="s">
        <v>149</v>
      </c>
      <c r="I13" s="14"/>
      <c r="J13" s="19"/>
    </row>
    <row r="14" spans="1:11" x14ac:dyDescent="0.3">
      <c r="A14" s="14">
        <f t="shared" si="0"/>
        <v>12</v>
      </c>
      <c r="B14" s="23"/>
      <c r="C14" s="23" t="s">
        <v>87</v>
      </c>
      <c r="D14" s="14" t="s">
        <v>88</v>
      </c>
      <c r="E14" s="14"/>
      <c r="F14" s="14"/>
      <c r="G14" s="14" t="s">
        <v>131</v>
      </c>
      <c r="H14" s="15" t="s">
        <v>150</v>
      </c>
      <c r="I14" s="14"/>
      <c r="J14" s="19"/>
    </row>
    <row r="15" spans="1:11" ht="28" x14ac:dyDescent="0.3">
      <c r="A15" s="14">
        <f t="shared" si="0"/>
        <v>13</v>
      </c>
      <c r="B15" s="23"/>
      <c r="C15" s="23"/>
      <c r="D15" s="14" t="s">
        <v>89</v>
      </c>
      <c r="E15" s="14"/>
      <c r="F15" s="14"/>
      <c r="G15" s="14" t="s">
        <v>131</v>
      </c>
      <c r="H15" s="15" t="s">
        <v>158</v>
      </c>
      <c r="I15" s="14"/>
      <c r="J15" s="19"/>
    </row>
    <row r="16" spans="1:11" ht="42" x14ac:dyDescent="0.3">
      <c r="A16" s="14">
        <f t="shared" si="0"/>
        <v>14</v>
      </c>
      <c r="B16" s="23"/>
      <c r="C16" s="23"/>
      <c r="D16" s="14" t="s">
        <v>90</v>
      </c>
      <c r="E16" s="14"/>
      <c r="F16" s="14"/>
      <c r="G16" s="14" t="s">
        <v>131</v>
      </c>
      <c r="H16" s="15" t="s">
        <v>174</v>
      </c>
      <c r="I16" s="14"/>
      <c r="J16" s="19"/>
    </row>
    <row r="17" spans="1:11" x14ac:dyDescent="0.3">
      <c r="A17" s="14">
        <f t="shared" si="0"/>
        <v>15</v>
      </c>
      <c r="B17" s="23"/>
      <c r="C17" s="14" t="s">
        <v>110</v>
      </c>
      <c r="D17" s="14"/>
      <c r="E17" s="14"/>
      <c r="F17" s="14"/>
      <c r="G17" s="14" t="s">
        <v>131</v>
      </c>
      <c r="H17" s="15" t="s">
        <v>155</v>
      </c>
      <c r="I17" s="14"/>
      <c r="J17" s="19"/>
    </row>
    <row r="18" spans="1:11" x14ac:dyDescent="0.3">
      <c r="A18" s="14">
        <f t="shared" si="0"/>
        <v>16</v>
      </c>
      <c r="B18" s="23"/>
      <c r="C18" s="23" t="s">
        <v>91</v>
      </c>
      <c r="D18" s="14" t="s">
        <v>72</v>
      </c>
      <c r="E18" s="14"/>
      <c r="F18" s="14"/>
      <c r="G18" s="14" t="s">
        <v>130</v>
      </c>
      <c r="H18" s="15" t="s">
        <v>159</v>
      </c>
      <c r="I18" s="14"/>
      <c r="J18" s="19"/>
    </row>
    <row r="19" spans="1:11" x14ac:dyDescent="0.3">
      <c r="A19" s="14">
        <f t="shared" si="0"/>
        <v>17</v>
      </c>
      <c r="B19" s="23"/>
      <c r="C19" s="23"/>
      <c r="D19" s="14" t="s">
        <v>73</v>
      </c>
      <c r="E19" s="14"/>
      <c r="F19" s="14"/>
      <c r="G19" s="14" t="s">
        <v>130</v>
      </c>
      <c r="H19" s="15" t="s">
        <v>160</v>
      </c>
      <c r="I19" s="14"/>
      <c r="J19" s="19"/>
    </row>
    <row r="20" spans="1:11" ht="28" x14ac:dyDescent="0.3">
      <c r="A20" s="14">
        <f t="shared" si="0"/>
        <v>18</v>
      </c>
      <c r="B20" s="23"/>
      <c r="C20" s="23"/>
      <c r="D20" s="14" t="s">
        <v>92</v>
      </c>
      <c r="E20" s="14"/>
      <c r="F20" s="14"/>
      <c r="G20" s="14" t="s">
        <v>130</v>
      </c>
      <c r="H20" s="15" t="s">
        <v>161</v>
      </c>
      <c r="I20" s="14"/>
      <c r="J20" s="19"/>
    </row>
    <row r="21" spans="1:11" ht="28" x14ac:dyDescent="0.3">
      <c r="A21" s="14">
        <f t="shared" si="0"/>
        <v>19</v>
      </c>
      <c r="B21" s="23"/>
      <c r="C21" s="23" t="s">
        <v>63</v>
      </c>
      <c r="D21" s="23" t="s">
        <v>65</v>
      </c>
      <c r="E21" s="14" t="s">
        <v>81</v>
      </c>
      <c r="F21" s="14"/>
      <c r="G21" s="14" t="s">
        <v>130</v>
      </c>
      <c r="H21" s="15" t="s">
        <v>162</v>
      </c>
      <c r="I21" s="14"/>
      <c r="J21" s="19"/>
    </row>
    <row r="22" spans="1:11" x14ac:dyDescent="0.3">
      <c r="A22" s="14">
        <f t="shared" si="0"/>
        <v>20</v>
      </c>
      <c r="B22" s="23"/>
      <c r="C22" s="23"/>
      <c r="D22" s="23"/>
      <c r="E22" s="14" t="s">
        <v>82</v>
      </c>
      <c r="F22" s="14"/>
      <c r="G22" s="14" t="s">
        <v>130</v>
      </c>
      <c r="H22" s="15" t="s">
        <v>163</v>
      </c>
      <c r="I22" s="14"/>
      <c r="J22" s="19"/>
    </row>
    <row r="23" spans="1:11" x14ac:dyDescent="0.3">
      <c r="A23" s="14">
        <f t="shared" si="0"/>
        <v>21</v>
      </c>
      <c r="B23" s="23"/>
      <c r="C23" s="23"/>
      <c r="D23" s="23"/>
      <c r="E23" s="14" t="s">
        <v>74</v>
      </c>
      <c r="F23" s="14"/>
      <c r="G23" s="14" t="s">
        <v>130</v>
      </c>
      <c r="H23" s="15" t="s">
        <v>164</v>
      </c>
      <c r="I23" s="14"/>
      <c r="J23" s="19"/>
    </row>
    <row r="24" spans="1:11" x14ac:dyDescent="0.3">
      <c r="A24" s="14">
        <f t="shared" si="0"/>
        <v>22</v>
      </c>
      <c r="B24" s="23"/>
      <c r="C24" s="23"/>
      <c r="D24" s="23"/>
      <c r="E24" s="14" t="s">
        <v>94</v>
      </c>
      <c r="F24" s="14"/>
      <c r="G24" s="14" t="s">
        <v>132</v>
      </c>
      <c r="H24" s="15" t="s">
        <v>165</v>
      </c>
      <c r="I24" s="14">
        <v>3</v>
      </c>
      <c r="J24" s="19"/>
    </row>
    <row r="25" spans="1:11" x14ac:dyDescent="0.3">
      <c r="A25" s="14">
        <f t="shared" si="0"/>
        <v>23</v>
      </c>
      <c r="B25" s="23"/>
      <c r="C25" s="23"/>
      <c r="D25" s="23" t="s">
        <v>98</v>
      </c>
      <c r="E25" s="14" t="s">
        <v>114</v>
      </c>
      <c r="F25" s="14"/>
      <c r="G25" s="14" t="s">
        <v>130</v>
      </c>
      <c r="H25" s="15" t="s">
        <v>166</v>
      </c>
      <c r="I25" s="14"/>
      <c r="J25" s="19"/>
    </row>
    <row r="26" spans="1:11" x14ac:dyDescent="0.3">
      <c r="A26" s="14">
        <f t="shared" si="0"/>
        <v>24</v>
      </c>
      <c r="B26" s="23"/>
      <c r="C26" s="23"/>
      <c r="D26" s="23"/>
      <c r="E26" s="14" t="s">
        <v>93</v>
      </c>
      <c r="F26" s="14"/>
      <c r="G26" s="14" t="s">
        <v>130</v>
      </c>
      <c r="H26" s="15" t="s">
        <v>167</v>
      </c>
      <c r="I26" s="14" t="s">
        <v>168</v>
      </c>
      <c r="J26" s="19"/>
    </row>
    <row r="27" spans="1:11" x14ac:dyDescent="0.3">
      <c r="A27" s="14">
        <f t="shared" si="0"/>
        <v>25</v>
      </c>
      <c r="B27" s="23" t="s">
        <v>79</v>
      </c>
      <c r="C27" s="23" t="s">
        <v>12</v>
      </c>
      <c r="D27" s="14" t="s">
        <v>13</v>
      </c>
      <c r="E27" s="14"/>
      <c r="F27" s="14"/>
      <c r="G27" s="14" t="s">
        <v>141</v>
      </c>
      <c r="H27" s="15" t="s">
        <v>169</v>
      </c>
      <c r="I27" s="14"/>
      <c r="J27" s="19" t="s">
        <v>254</v>
      </c>
    </row>
    <row r="28" spans="1:11" x14ac:dyDescent="0.3">
      <c r="A28" s="14">
        <f t="shared" si="0"/>
        <v>26</v>
      </c>
      <c r="B28" s="23"/>
      <c r="C28" s="23"/>
      <c r="D28" s="14" t="s">
        <v>64</v>
      </c>
      <c r="E28" s="14"/>
      <c r="F28" s="16"/>
      <c r="G28" s="14" t="s">
        <v>134</v>
      </c>
      <c r="H28" s="15" t="s">
        <v>170</v>
      </c>
      <c r="I28" s="14"/>
      <c r="J28" s="19" t="s">
        <v>254</v>
      </c>
      <c r="K28" t="s">
        <v>250</v>
      </c>
    </row>
    <row r="29" spans="1:11" ht="56" x14ac:dyDescent="0.3">
      <c r="A29" s="14">
        <f t="shared" si="0"/>
        <v>27</v>
      </c>
      <c r="B29" s="23"/>
      <c r="C29" s="23" t="s">
        <v>14</v>
      </c>
      <c r="D29" s="14" t="s">
        <v>75</v>
      </c>
      <c r="E29" s="14"/>
      <c r="F29" s="16"/>
      <c r="G29" s="14" t="s">
        <v>140</v>
      </c>
      <c r="H29" s="15" t="s">
        <v>171</v>
      </c>
      <c r="I29" s="14"/>
      <c r="J29" s="19" t="s">
        <v>254</v>
      </c>
    </row>
    <row r="30" spans="1:11" x14ac:dyDescent="0.3">
      <c r="A30" s="14">
        <f t="shared" si="0"/>
        <v>28</v>
      </c>
      <c r="B30" s="23"/>
      <c r="C30" s="23"/>
      <c r="D30" s="23" t="s">
        <v>76</v>
      </c>
      <c r="E30" s="14" t="s">
        <v>111</v>
      </c>
      <c r="F30" s="16"/>
      <c r="G30" s="14" t="s">
        <v>140</v>
      </c>
      <c r="H30" s="15" t="s">
        <v>173</v>
      </c>
      <c r="I30" s="14"/>
      <c r="J30" s="19" t="s">
        <v>254</v>
      </c>
    </row>
    <row r="31" spans="1:11" x14ac:dyDescent="0.3">
      <c r="A31" s="14">
        <f t="shared" si="0"/>
        <v>29</v>
      </c>
      <c r="B31" s="23"/>
      <c r="C31" s="23"/>
      <c r="D31" s="23"/>
      <c r="E31" s="14" t="s">
        <v>112</v>
      </c>
      <c r="F31" s="14"/>
      <c r="G31" s="14" t="s">
        <v>140</v>
      </c>
      <c r="H31" s="15" t="s">
        <v>172</v>
      </c>
      <c r="I31" s="14"/>
      <c r="J31" s="19" t="s">
        <v>254</v>
      </c>
      <c r="K31" t="s">
        <v>256</v>
      </c>
    </row>
    <row r="32" spans="1:11" ht="28" x14ac:dyDescent="0.3">
      <c r="A32" s="14">
        <f t="shared" si="0"/>
        <v>30</v>
      </c>
      <c r="B32" s="23"/>
      <c r="C32" s="23"/>
      <c r="D32" s="23"/>
      <c r="E32" s="14" t="s">
        <v>90</v>
      </c>
      <c r="F32" s="14"/>
      <c r="G32" s="14" t="s">
        <v>140</v>
      </c>
      <c r="H32" s="15" t="s">
        <v>175</v>
      </c>
      <c r="I32" s="14"/>
      <c r="J32" s="3"/>
    </row>
    <row r="33" spans="1:11" ht="42" x14ac:dyDescent="0.3">
      <c r="A33" s="14">
        <f t="shared" si="0"/>
        <v>31</v>
      </c>
      <c r="B33" s="23"/>
      <c r="C33" s="23" t="s">
        <v>15</v>
      </c>
      <c r="D33" s="14" t="s">
        <v>176</v>
      </c>
      <c r="E33" s="14"/>
      <c r="F33" s="14"/>
      <c r="G33" s="14" t="s">
        <v>134</v>
      </c>
      <c r="H33" s="15" t="s">
        <v>177</v>
      </c>
      <c r="I33" s="14"/>
      <c r="J33" s="19" t="s">
        <v>254</v>
      </c>
    </row>
    <row r="34" spans="1:11" ht="28" x14ac:dyDescent="0.3">
      <c r="A34" s="14">
        <f t="shared" si="0"/>
        <v>32</v>
      </c>
      <c r="B34" s="23"/>
      <c r="C34" s="23"/>
      <c r="D34" s="23" t="s">
        <v>16</v>
      </c>
      <c r="E34" s="14" t="s">
        <v>58</v>
      </c>
      <c r="F34" s="14"/>
      <c r="G34" s="14" t="s">
        <v>134</v>
      </c>
      <c r="H34" s="15" t="s">
        <v>178</v>
      </c>
      <c r="I34" s="14"/>
      <c r="J34" s="19" t="s">
        <v>254</v>
      </c>
    </row>
    <row r="35" spans="1:11" x14ac:dyDescent="0.3">
      <c r="A35" s="14">
        <f t="shared" si="0"/>
        <v>33</v>
      </c>
      <c r="B35" s="23"/>
      <c r="C35" s="23"/>
      <c r="D35" s="23"/>
      <c r="E35" s="14" t="s">
        <v>59</v>
      </c>
      <c r="F35" s="14"/>
      <c r="G35" s="14" t="s">
        <v>134</v>
      </c>
      <c r="H35" s="15" t="s">
        <v>147</v>
      </c>
      <c r="I35" s="14"/>
      <c r="J35" s="19" t="s">
        <v>254</v>
      </c>
    </row>
    <row r="36" spans="1:11" ht="28" x14ac:dyDescent="0.3">
      <c r="A36" s="14">
        <f t="shared" si="0"/>
        <v>34</v>
      </c>
      <c r="B36" s="23"/>
      <c r="C36" s="23"/>
      <c r="D36" s="23"/>
      <c r="E36" s="14" t="s">
        <v>61</v>
      </c>
      <c r="F36" s="14"/>
      <c r="G36" s="14" t="s">
        <v>134</v>
      </c>
      <c r="H36" s="15" t="s">
        <v>148</v>
      </c>
      <c r="I36" s="14"/>
      <c r="J36" s="19" t="s">
        <v>254</v>
      </c>
    </row>
    <row r="37" spans="1:11" x14ac:dyDescent="0.3">
      <c r="A37" s="14">
        <f t="shared" si="0"/>
        <v>35</v>
      </c>
      <c r="B37" s="23"/>
      <c r="C37" s="23"/>
      <c r="D37" s="23"/>
      <c r="E37" s="14" t="s">
        <v>60</v>
      </c>
      <c r="F37" s="14"/>
      <c r="G37" s="14" t="s">
        <v>134</v>
      </c>
      <c r="H37" s="15" t="s">
        <v>151</v>
      </c>
      <c r="I37" s="14"/>
      <c r="J37" s="19" t="s">
        <v>254</v>
      </c>
    </row>
    <row r="38" spans="1:11" x14ac:dyDescent="0.3">
      <c r="A38" s="14">
        <f t="shared" si="0"/>
        <v>36</v>
      </c>
      <c r="B38" s="23"/>
      <c r="C38" s="23"/>
      <c r="D38" s="14" t="s">
        <v>17</v>
      </c>
      <c r="E38" s="14"/>
      <c r="F38" s="16"/>
      <c r="G38" s="14" t="s">
        <v>134</v>
      </c>
      <c r="H38" s="15" t="s">
        <v>179</v>
      </c>
      <c r="I38" s="14"/>
      <c r="J38" s="19" t="s">
        <v>254</v>
      </c>
    </row>
    <row r="39" spans="1:11" ht="28" x14ac:dyDescent="0.3">
      <c r="A39" s="14">
        <f t="shared" si="0"/>
        <v>37</v>
      </c>
      <c r="B39" s="23"/>
      <c r="C39" s="23"/>
      <c r="D39" s="14" t="s">
        <v>120</v>
      </c>
      <c r="E39" s="14"/>
      <c r="F39" s="16"/>
      <c r="G39" s="14" t="s">
        <v>134</v>
      </c>
      <c r="H39" s="15" t="s">
        <v>180</v>
      </c>
      <c r="I39" s="14"/>
      <c r="J39" s="19" t="s">
        <v>254</v>
      </c>
    </row>
    <row r="40" spans="1:11" ht="28" x14ac:dyDescent="0.3">
      <c r="A40" s="14">
        <f t="shared" si="0"/>
        <v>38</v>
      </c>
      <c r="B40" s="23"/>
      <c r="C40" s="23"/>
      <c r="D40" s="23" t="s">
        <v>115</v>
      </c>
      <c r="E40" s="14" t="s">
        <v>86</v>
      </c>
      <c r="F40" s="16"/>
      <c r="G40" s="14" t="s">
        <v>134</v>
      </c>
      <c r="H40" s="15" t="s">
        <v>181</v>
      </c>
      <c r="I40" s="14"/>
      <c r="J40" s="19" t="s">
        <v>254</v>
      </c>
    </row>
    <row r="41" spans="1:11" x14ac:dyDescent="0.3">
      <c r="A41" s="14">
        <f t="shared" si="0"/>
        <v>39</v>
      </c>
      <c r="B41" s="23"/>
      <c r="C41" s="23"/>
      <c r="D41" s="23"/>
      <c r="E41" s="14" t="s">
        <v>74</v>
      </c>
      <c r="F41" s="16"/>
      <c r="G41" s="14" t="s">
        <v>134</v>
      </c>
      <c r="H41" s="15" t="s">
        <v>182</v>
      </c>
      <c r="I41" s="14"/>
      <c r="J41" s="19" t="s">
        <v>254</v>
      </c>
    </row>
    <row r="42" spans="1:11" x14ac:dyDescent="0.3">
      <c r="A42" s="14">
        <f t="shared" si="0"/>
        <v>40</v>
      </c>
      <c r="B42" s="23"/>
      <c r="C42" s="23" t="s">
        <v>142</v>
      </c>
      <c r="D42" s="14" t="s">
        <v>77</v>
      </c>
      <c r="E42" s="14"/>
      <c r="F42" s="16"/>
      <c r="G42" s="14" t="s">
        <v>134</v>
      </c>
      <c r="H42" s="15" t="s">
        <v>183</v>
      </c>
      <c r="I42" s="14"/>
      <c r="J42" s="19" t="s">
        <v>254</v>
      </c>
    </row>
    <row r="43" spans="1:11" x14ac:dyDescent="0.3">
      <c r="A43" s="14">
        <f t="shared" si="0"/>
        <v>41</v>
      </c>
      <c r="B43" s="23"/>
      <c r="C43" s="23"/>
      <c r="D43" s="14" t="s">
        <v>78</v>
      </c>
      <c r="E43" s="14"/>
      <c r="F43" s="16"/>
      <c r="G43" s="14" t="s">
        <v>132</v>
      </c>
      <c r="H43" s="15" t="s">
        <v>184</v>
      </c>
      <c r="I43" s="14"/>
      <c r="J43" s="19" t="s">
        <v>254</v>
      </c>
    </row>
    <row r="44" spans="1:11" x14ac:dyDescent="0.3">
      <c r="A44" s="14">
        <f t="shared" si="0"/>
        <v>42</v>
      </c>
      <c r="B44" s="23"/>
      <c r="C44" s="23" t="s">
        <v>113</v>
      </c>
      <c r="D44" s="14" t="s">
        <v>72</v>
      </c>
      <c r="E44" s="14"/>
      <c r="F44" s="14"/>
      <c r="G44" s="14" t="s">
        <v>134</v>
      </c>
      <c r="H44" s="15" t="s">
        <v>156</v>
      </c>
      <c r="I44" s="14"/>
      <c r="J44" s="19" t="s">
        <v>254</v>
      </c>
    </row>
    <row r="45" spans="1:11" x14ac:dyDescent="0.3">
      <c r="A45" s="14">
        <f t="shared" si="0"/>
        <v>43</v>
      </c>
      <c r="B45" s="23"/>
      <c r="C45" s="23"/>
      <c r="D45" s="14" t="s">
        <v>73</v>
      </c>
      <c r="E45" s="14"/>
      <c r="F45" s="14"/>
      <c r="G45" s="14" t="s">
        <v>134</v>
      </c>
      <c r="H45" s="15" t="s">
        <v>157</v>
      </c>
      <c r="I45" s="14"/>
      <c r="J45" s="19" t="s">
        <v>254</v>
      </c>
    </row>
    <row r="46" spans="1:11" ht="28" x14ac:dyDescent="0.3">
      <c r="A46" s="14">
        <f t="shared" si="0"/>
        <v>44</v>
      </c>
      <c r="B46" s="23"/>
      <c r="C46" s="23"/>
      <c r="D46" s="14" t="s">
        <v>92</v>
      </c>
      <c r="E46" s="14"/>
      <c r="F46" s="14"/>
      <c r="G46" s="14" t="s">
        <v>134</v>
      </c>
      <c r="H46" s="15" t="s">
        <v>161</v>
      </c>
      <c r="I46" s="14"/>
      <c r="J46" s="19" t="s">
        <v>254</v>
      </c>
    </row>
    <row r="47" spans="1:11" x14ac:dyDescent="0.3">
      <c r="A47" s="14">
        <f t="shared" si="0"/>
        <v>45</v>
      </c>
      <c r="B47" s="23" t="s">
        <v>18</v>
      </c>
      <c r="C47" s="23" t="s">
        <v>119</v>
      </c>
      <c r="D47" s="14" t="s">
        <v>98</v>
      </c>
      <c r="E47" s="14"/>
      <c r="F47" s="14"/>
      <c r="G47" s="14" t="s">
        <v>133</v>
      </c>
      <c r="H47" s="15" t="s">
        <v>185</v>
      </c>
      <c r="I47" s="14"/>
      <c r="J47" s="19" t="s">
        <v>254</v>
      </c>
      <c r="K47" t="s">
        <v>251</v>
      </c>
    </row>
    <row r="48" spans="1:11" x14ac:dyDescent="0.3">
      <c r="A48" s="14">
        <f t="shared" si="0"/>
        <v>46</v>
      </c>
      <c r="B48" s="23"/>
      <c r="C48" s="23"/>
      <c r="D48" s="26" t="s">
        <v>116</v>
      </c>
      <c r="E48" s="14" t="s">
        <v>117</v>
      </c>
      <c r="F48" s="14"/>
      <c r="G48" s="14" t="s">
        <v>133</v>
      </c>
      <c r="H48" s="15" t="s">
        <v>186</v>
      </c>
      <c r="I48" s="14"/>
      <c r="J48" s="19" t="s">
        <v>254</v>
      </c>
    </row>
    <row r="49" spans="1:10" ht="28" x14ac:dyDescent="0.3">
      <c r="A49" s="14">
        <f t="shared" si="0"/>
        <v>47</v>
      </c>
      <c r="B49" s="23"/>
      <c r="C49" s="23"/>
      <c r="D49" s="28"/>
      <c r="E49" s="14" t="s">
        <v>118</v>
      </c>
      <c r="F49" s="14"/>
      <c r="G49" s="14" t="s">
        <v>133</v>
      </c>
      <c r="H49" s="15" t="s">
        <v>187</v>
      </c>
      <c r="I49" s="14"/>
      <c r="J49" s="19" t="s">
        <v>254</v>
      </c>
    </row>
    <row r="50" spans="1:10" x14ac:dyDescent="0.3">
      <c r="A50" s="14">
        <f t="shared" si="0"/>
        <v>48</v>
      </c>
      <c r="B50" s="23"/>
      <c r="C50" s="26" t="s">
        <v>28</v>
      </c>
      <c r="D50" s="14" t="s">
        <v>66</v>
      </c>
      <c r="E50" s="14"/>
      <c r="F50" s="14"/>
      <c r="G50" s="14" t="s">
        <v>133</v>
      </c>
      <c r="H50" s="15" t="s">
        <v>189</v>
      </c>
      <c r="I50" s="14"/>
      <c r="J50" s="19" t="s">
        <v>254</v>
      </c>
    </row>
    <row r="51" spans="1:10" ht="28" x14ac:dyDescent="0.3">
      <c r="A51" s="14">
        <f t="shared" si="0"/>
        <v>49</v>
      </c>
      <c r="B51" s="23"/>
      <c r="C51" s="27"/>
      <c r="D51" s="14" t="s">
        <v>29</v>
      </c>
      <c r="E51" s="14"/>
      <c r="F51" s="14"/>
      <c r="G51" s="14" t="s">
        <v>133</v>
      </c>
      <c r="H51" s="15" t="s">
        <v>190</v>
      </c>
      <c r="I51" s="14"/>
      <c r="J51" s="19" t="s">
        <v>254</v>
      </c>
    </row>
    <row r="52" spans="1:10" x14ac:dyDescent="0.3">
      <c r="A52" s="14">
        <f t="shared" si="0"/>
        <v>50</v>
      </c>
      <c r="B52" s="23"/>
      <c r="C52" s="27"/>
      <c r="D52" s="14" t="s">
        <v>68</v>
      </c>
      <c r="E52" s="14"/>
      <c r="F52" s="14"/>
      <c r="G52" s="14" t="s">
        <v>133</v>
      </c>
      <c r="H52" s="15" t="s">
        <v>191</v>
      </c>
      <c r="I52" s="14"/>
      <c r="J52" s="19" t="s">
        <v>254</v>
      </c>
    </row>
    <row r="53" spans="1:10" x14ac:dyDescent="0.3">
      <c r="A53" s="14">
        <v>51</v>
      </c>
      <c r="B53" s="23"/>
      <c r="C53" s="27"/>
      <c r="D53" s="14" t="s">
        <v>67</v>
      </c>
      <c r="E53" s="14"/>
      <c r="F53" s="14"/>
      <c r="G53" s="14" t="s">
        <v>133</v>
      </c>
      <c r="H53" s="15" t="s">
        <v>192</v>
      </c>
      <c r="I53" s="14"/>
      <c r="J53" s="19" t="s">
        <v>254</v>
      </c>
    </row>
    <row r="54" spans="1:10" ht="28" x14ac:dyDescent="0.3">
      <c r="A54" s="14">
        <f t="shared" si="0"/>
        <v>52</v>
      </c>
      <c r="B54" s="23"/>
      <c r="C54" s="28"/>
      <c r="D54" s="14" t="s">
        <v>139</v>
      </c>
      <c r="E54" s="14"/>
      <c r="F54" s="14"/>
      <c r="G54" s="14" t="s">
        <v>133</v>
      </c>
      <c r="H54" s="15" t="s">
        <v>193</v>
      </c>
      <c r="I54" s="14"/>
      <c r="J54" s="19" t="s">
        <v>254</v>
      </c>
    </row>
    <row r="55" spans="1:10" ht="28" x14ac:dyDescent="0.3">
      <c r="A55" s="14">
        <f t="shared" si="0"/>
        <v>53</v>
      </c>
      <c r="B55" s="23"/>
      <c r="C55" s="14" t="s">
        <v>19</v>
      </c>
      <c r="D55" s="14"/>
      <c r="E55" s="14"/>
      <c r="F55" s="14"/>
      <c r="G55" s="14" t="s">
        <v>133</v>
      </c>
      <c r="H55" s="15" t="s">
        <v>188</v>
      </c>
      <c r="I55" s="14"/>
      <c r="J55" s="19" t="s">
        <v>254</v>
      </c>
    </row>
    <row r="56" spans="1:10" x14ac:dyDescent="0.3">
      <c r="A56" s="14">
        <f t="shared" si="0"/>
        <v>54</v>
      </c>
      <c r="B56" s="23"/>
      <c r="C56" s="23" t="s">
        <v>138</v>
      </c>
      <c r="D56" s="14" t="s">
        <v>210</v>
      </c>
      <c r="E56" s="14"/>
      <c r="F56" s="14"/>
      <c r="G56" s="14" t="s">
        <v>132</v>
      </c>
      <c r="H56" s="15" t="s">
        <v>209</v>
      </c>
      <c r="I56" s="14"/>
      <c r="J56" s="19" t="s">
        <v>253</v>
      </c>
    </row>
    <row r="57" spans="1:10" x14ac:dyDescent="0.3">
      <c r="A57" s="14">
        <f t="shared" si="0"/>
        <v>55</v>
      </c>
      <c r="B57" s="23"/>
      <c r="C57" s="23"/>
      <c r="D57" s="14" t="s">
        <v>211</v>
      </c>
      <c r="E57" s="14"/>
      <c r="F57" s="14"/>
      <c r="G57" s="14" t="s">
        <v>132</v>
      </c>
      <c r="H57" s="15" t="s">
        <v>212</v>
      </c>
      <c r="I57" s="14"/>
      <c r="J57" s="19" t="s">
        <v>253</v>
      </c>
    </row>
    <row r="58" spans="1:10" x14ac:dyDescent="0.3">
      <c r="A58" s="14"/>
      <c r="B58" s="23"/>
      <c r="C58" s="23"/>
      <c r="D58" s="14" t="s">
        <v>213</v>
      </c>
      <c r="E58" s="14"/>
      <c r="F58" s="14"/>
      <c r="G58" s="14" t="s">
        <v>132</v>
      </c>
      <c r="H58" s="15" t="s">
        <v>214</v>
      </c>
      <c r="I58" s="14"/>
      <c r="J58" s="19" t="s">
        <v>252</v>
      </c>
    </row>
    <row r="59" spans="1:10" ht="28" x14ac:dyDescent="0.3">
      <c r="A59" s="14">
        <f t="shared" si="0"/>
        <v>57</v>
      </c>
      <c r="B59" s="23"/>
      <c r="C59" s="23"/>
      <c r="D59" s="14" t="s">
        <v>69</v>
      </c>
      <c r="E59" s="14"/>
      <c r="F59" s="14"/>
      <c r="G59" s="14" t="s">
        <v>132</v>
      </c>
      <c r="H59" s="15" t="s">
        <v>215</v>
      </c>
      <c r="I59" s="14"/>
      <c r="J59" s="19" t="s">
        <v>252</v>
      </c>
    </row>
    <row r="60" spans="1:10" x14ac:dyDescent="0.3">
      <c r="A60" s="14">
        <f t="shared" si="0"/>
        <v>58</v>
      </c>
      <c r="B60" s="23"/>
      <c r="C60" s="23"/>
      <c r="D60" s="14" t="s">
        <v>70</v>
      </c>
      <c r="E60" s="14"/>
      <c r="F60" s="14"/>
      <c r="G60" s="14" t="s">
        <v>132</v>
      </c>
      <c r="H60" s="15" t="s">
        <v>216</v>
      </c>
      <c r="I60" s="14"/>
      <c r="J60" s="19" t="s">
        <v>252</v>
      </c>
    </row>
    <row r="61" spans="1:10" x14ac:dyDescent="0.3">
      <c r="A61" s="14">
        <f t="shared" si="0"/>
        <v>59</v>
      </c>
      <c r="B61" s="23" t="s">
        <v>95</v>
      </c>
      <c r="C61" s="23" t="s">
        <v>96</v>
      </c>
      <c r="D61" s="14" t="s">
        <v>98</v>
      </c>
      <c r="E61" s="14"/>
      <c r="F61" s="14"/>
      <c r="G61" s="14" t="s">
        <v>132</v>
      </c>
      <c r="H61" s="15" t="s">
        <v>217</v>
      </c>
      <c r="I61" s="14"/>
      <c r="J61" s="19" t="s">
        <v>254</v>
      </c>
    </row>
    <row r="62" spans="1:10" x14ac:dyDescent="0.3">
      <c r="A62" s="14">
        <f t="shared" si="0"/>
        <v>60</v>
      </c>
      <c r="B62" s="23"/>
      <c r="C62" s="23"/>
      <c r="D62" s="14" t="s">
        <v>99</v>
      </c>
      <c r="E62" s="14"/>
      <c r="F62" s="16"/>
      <c r="G62" s="14" t="s">
        <v>132</v>
      </c>
      <c r="H62" s="15"/>
      <c r="I62" s="14"/>
      <c r="J62" s="19" t="s">
        <v>254</v>
      </c>
    </row>
    <row r="63" spans="1:10" ht="28" x14ac:dyDescent="0.3">
      <c r="A63" s="14">
        <f t="shared" si="0"/>
        <v>61</v>
      </c>
      <c r="B63" s="23"/>
      <c r="C63" s="23"/>
      <c r="D63" s="23" t="s">
        <v>100</v>
      </c>
      <c r="E63" s="14" t="s">
        <v>102</v>
      </c>
      <c r="F63" s="16"/>
      <c r="G63" s="14" t="s">
        <v>132</v>
      </c>
      <c r="H63" s="15" t="s">
        <v>218</v>
      </c>
      <c r="I63" s="14"/>
      <c r="J63" s="19" t="s">
        <v>254</v>
      </c>
    </row>
    <row r="64" spans="1:10" x14ac:dyDescent="0.3">
      <c r="A64" s="14">
        <f t="shared" si="0"/>
        <v>62</v>
      </c>
      <c r="B64" s="23"/>
      <c r="C64" s="23"/>
      <c r="D64" s="23"/>
      <c r="E64" s="14" t="s">
        <v>103</v>
      </c>
      <c r="F64" s="16"/>
      <c r="G64" s="14" t="s">
        <v>132</v>
      </c>
      <c r="H64" s="15" t="s">
        <v>219</v>
      </c>
      <c r="I64" s="14"/>
      <c r="J64" s="19" t="s">
        <v>254</v>
      </c>
    </row>
    <row r="65" spans="1:10" x14ac:dyDescent="0.3">
      <c r="A65" s="14">
        <f t="shared" si="0"/>
        <v>63</v>
      </c>
      <c r="B65" s="23"/>
      <c r="C65" s="23"/>
      <c r="D65" s="14" t="s">
        <v>104</v>
      </c>
      <c r="E65" s="14"/>
      <c r="F65" s="14"/>
      <c r="G65" s="14" t="s">
        <v>132</v>
      </c>
      <c r="H65" s="15" t="s">
        <v>220</v>
      </c>
      <c r="I65" s="14"/>
      <c r="J65" s="19" t="s">
        <v>254</v>
      </c>
    </row>
    <row r="66" spans="1:10" x14ac:dyDescent="0.3">
      <c r="A66" s="14">
        <f t="shared" si="0"/>
        <v>64</v>
      </c>
      <c r="B66" s="23"/>
      <c r="C66" s="23" t="s">
        <v>97</v>
      </c>
      <c r="D66" s="14" t="s">
        <v>98</v>
      </c>
      <c r="E66" s="14"/>
      <c r="F66" s="14"/>
      <c r="G66" s="14" t="s">
        <v>132</v>
      </c>
      <c r="H66" s="15" t="s">
        <v>217</v>
      </c>
      <c r="I66" s="14"/>
      <c r="J66" s="19" t="s">
        <v>258</v>
      </c>
    </row>
    <row r="67" spans="1:10" x14ac:dyDescent="0.3">
      <c r="A67" s="14">
        <f t="shared" si="0"/>
        <v>65</v>
      </c>
      <c r="B67" s="23"/>
      <c r="C67" s="23"/>
      <c r="D67" s="14" t="s">
        <v>99</v>
      </c>
      <c r="E67" s="14"/>
      <c r="F67" s="14"/>
      <c r="G67" s="14" t="s">
        <v>132</v>
      </c>
      <c r="H67" s="15"/>
      <c r="I67" s="14"/>
      <c r="J67" s="19" t="s">
        <v>257</v>
      </c>
    </row>
    <row r="68" spans="1:10" ht="28" x14ac:dyDescent="0.3">
      <c r="A68" s="14">
        <f t="shared" si="0"/>
        <v>66</v>
      </c>
      <c r="B68" s="23"/>
      <c r="C68" s="23"/>
      <c r="D68" s="23" t="s">
        <v>100</v>
      </c>
      <c r="E68" s="14" t="s">
        <v>102</v>
      </c>
      <c r="F68" s="14"/>
      <c r="G68" s="14" t="s">
        <v>132</v>
      </c>
      <c r="H68" s="15" t="s">
        <v>221</v>
      </c>
      <c r="I68" s="14"/>
      <c r="J68" s="19" t="s">
        <v>257</v>
      </c>
    </row>
    <row r="69" spans="1:10" x14ac:dyDescent="0.3">
      <c r="A69" s="14">
        <f t="shared" si="0"/>
        <v>67</v>
      </c>
      <c r="B69" s="23"/>
      <c r="C69" s="23"/>
      <c r="D69" s="23"/>
      <c r="E69" s="14" t="s">
        <v>103</v>
      </c>
      <c r="F69" s="14"/>
      <c r="G69" s="14" t="s">
        <v>132</v>
      </c>
      <c r="H69" s="15" t="s">
        <v>219</v>
      </c>
      <c r="I69" s="14"/>
      <c r="J69" s="19" t="s">
        <v>257</v>
      </c>
    </row>
    <row r="70" spans="1:10" x14ac:dyDescent="0.3">
      <c r="A70" s="14">
        <f t="shared" si="0"/>
        <v>68</v>
      </c>
      <c r="B70" s="23"/>
      <c r="C70" s="23"/>
      <c r="D70" s="14" t="s">
        <v>104</v>
      </c>
      <c r="E70" s="14"/>
      <c r="F70" s="14"/>
      <c r="G70" s="14" t="s">
        <v>132</v>
      </c>
      <c r="H70" s="15" t="s">
        <v>220</v>
      </c>
      <c r="I70" s="14"/>
      <c r="J70" s="19" t="s">
        <v>257</v>
      </c>
    </row>
    <row r="71" spans="1:10" ht="28" x14ac:dyDescent="0.3">
      <c r="A71" s="14">
        <f t="shared" si="0"/>
        <v>69</v>
      </c>
      <c r="B71" s="23"/>
      <c r="C71" s="23" t="s">
        <v>20</v>
      </c>
      <c r="D71" s="23" t="s">
        <v>71</v>
      </c>
      <c r="E71" s="14" t="s">
        <v>105</v>
      </c>
      <c r="F71" s="14"/>
      <c r="G71" s="14" t="s">
        <v>132</v>
      </c>
      <c r="H71" s="15" t="s">
        <v>222</v>
      </c>
      <c r="I71" s="14"/>
      <c r="J71" s="19" t="s">
        <v>257</v>
      </c>
    </row>
    <row r="72" spans="1:10" x14ac:dyDescent="0.3">
      <c r="A72" s="14">
        <f t="shared" si="0"/>
        <v>70</v>
      </c>
      <c r="B72" s="23"/>
      <c r="C72" s="23"/>
      <c r="D72" s="23"/>
      <c r="E72" s="14" t="s">
        <v>101</v>
      </c>
      <c r="F72" s="14"/>
      <c r="G72" s="14" t="s">
        <v>132</v>
      </c>
      <c r="H72" s="15" t="s">
        <v>223</v>
      </c>
      <c r="I72" s="14"/>
      <c r="J72" s="19" t="s">
        <v>257</v>
      </c>
    </row>
    <row r="73" spans="1:10" ht="28" x14ac:dyDescent="0.3">
      <c r="A73" s="14">
        <f t="shared" si="0"/>
        <v>71</v>
      </c>
      <c r="B73" s="23"/>
      <c r="C73" s="23"/>
      <c r="D73" s="14" t="s">
        <v>21</v>
      </c>
      <c r="E73" s="14" t="s">
        <v>22</v>
      </c>
      <c r="F73" s="14"/>
      <c r="G73" s="14" t="s">
        <v>132</v>
      </c>
      <c r="H73" s="15" t="s">
        <v>224</v>
      </c>
      <c r="I73" s="14"/>
      <c r="J73" s="19" t="s">
        <v>257</v>
      </c>
    </row>
    <row r="74" spans="1:10" ht="28" x14ac:dyDescent="0.3">
      <c r="A74" s="14">
        <f t="shared" si="0"/>
        <v>72</v>
      </c>
      <c r="B74" s="23"/>
      <c r="C74" s="23"/>
      <c r="D74" s="23" t="s">
        <v>23</v>
      </c>
      <c r="E74" s="14" t="s">
        <v>108</v>
      </c>
      <c r="F74" s="14"/>
      <c r="G74" s="14" t="s">
        <v>130</v>
      </c>
      <c r="H74" s="15" t="s">
        <v>225</v>
      </c>
      <c r="I74" s="14"/>
      <c r="J74" s="19" t="s">
        <v>257</v>
      </c>
    </row>
    <row r="75" spans="1:10" ht="28" x14ac:dyDescent="0.3">
      <c r="A75" s="14">
        <f t="shared" si="0"/>
        <v>73</v>
      </c>
      <c r="B75" s="23"/>
      <c r="C75" s="23"/>
      <c r="D75" s="23"/>
      <c r="E75" s="17" t="s">
        <v>109</v>
      </c>
      <c r="F75" s="14"/>
      <c r="G75" s="14" t="s">
        <v>130</v>
      </c>
      <c r="H75" s="15" t="s">
        <v>226</v>
      </c>
      <c r="I75" s="14"/>
      <c r="J75" s="19" t="s">
        <v>257</v>
      </c>
    </row>
    <row r="76" spans="1:10" ht="28" x14ac:dyDescent="0.3">
      <c r="A76" s="14">
        <f t="shared" si="0"/>
        <v>74</v>
      </c>
      <c r="B76" s="23"/>
      <c r="C76" s="23"/>
      <c r="D76" s="23" t="s">
        <v>24</v>
      </c>
      <c r="E76" s="14" t="s">
        <v>107</v>
      </c>
      <c r="F76" s="14"/>
      <c r="G76" s="14" t="s">
        <v>132</v>
      </c>
      <c r="H76" s="15" t="s">
        <v>227</v>
      </c>
      <c r="I76" s="14"/>
      <c r="J76" s="19" t="s">
        <v>257</v>
      </c>
    </row>
    <row r="77" spans="1:10" x14ac:dyDescent="0.3">
      <c r="A77" s="14">
        <f t="shared" si="0"/>
        <v>75</v>
      </c>
      <c r="B77" s="23"/>
      <c r="C77" s="23"/>
      <c r="D77" s="23"/>
      <c r="E77" s="14" t="s">
        <v>106</v>
      </c>
      <c r="F77" s="14"/>
      <c r="G77" s="14" t="s">
        <v>132</v>
      </c>
      <c r="H77" s="15" t="s">
        <v>228</v>
      </c>
      <c r="I77" s="14"/>
      <c r="J77" s="19" t="s">
        <v>257</v>
      </c>
    </row>
    <row r="78" spans="1:10" ht="28" x14ac:dyDescent="0.3">
      <c r="A78" s="14">
        <f t="shared" si="0"/>
        <v>76</v>
      </c>
      <c r="B78" s="23"/>
      <c r="C78" s="23"/>
      <c r="D78" s="23"/>
      <c r="E78" s="14" t="s">
        <v>19</v>
      </c>
      <c r="F78" s="14"/>
      <c r="G78" s="14" t="s">
        <v>132</v>
      </c>
      <c r="H78" s="15" t="s">
        <v>229</v>
      </c>
      <c r="I78" s="14"/>
      <c r="J78" s="19" t="s">
        <v>257</v>
      </c>
    </row>
    <row r="79" spans="1:10" ht="28" x14ac:dyDescent="0.3">
      <c r="A79" s="14">
        <f t="shared" si="0"/>
        <v>77</v>
      </c>
      <c r="B79" s="23" t="s">
        <v>26</v>
      </c>
      <c r="C79" s="23" t="s">
        <v>50</v>
      </c>
      <c r="D79" s="14" t="s">
        <v>121</v>
      </c>
      <c r="E79" s="14"/>
      <c r="F79" s="14"/>
      <c r="G79" s="14" t="s">
        <v>132</v>
      </c>
      <c r="H79" s="15" t="s">
        <v>195</v>
      </c>
      <c r="I79" s="14"/>
      <c r="J79" s="19" t="s">
        <v>255</v>
      </c>
    </row>
    <row r="80" spans="1:10" ht="28" x14ac:dyDescent="0.3">
      <c r="A80" s="14">
        <f t="shared" si="0"/>
        <v>78</v>
      </c>
      <c r="B80" s="23"/>
      <c r="C80" s="23"/>
      <c r="D80" s="14" t="s">
        <v>122</v>
      </c>
      <c r="E80" s="14"/>
      <c r="F80" s="14"/>
      <c r="G80" s="14" t="s">
        <v>133</v>
      </c>
      <c r="H80" s="15" t="s">
        <v>194</v>
      </c>
      <c r="I80" s="14"/>
      <c r="J80" s="19" t="s">
        <v>255</v>
      </c>
    </row>
    <row r="81" spans="1:10" ht="28" x14ac:dyDescent="0.3">
      <c r="A81" s="14">
        <f t="shared" si="0"/>
        <v>79</v>
      </c>
      <c r="B81" s="23"/>
      <c r="C81" s="23"/>
      <c r="D81" s="14" t="s">
        <v>125</v>
      </c>
      <c r="E81" s="14"/>
      <c r="F81" s="14"/>
      <c r="G81" s="14" t="s">
        <v>134</v>
      </c>
      <c r="H81" s="15" t="s">
        <v>196</v>
      </c>
      <c r="I81" s="14"/>
      <c r="J81" s="19" t="s">
        <v>254</v>
      </c>
    </row>
    <row r="82" spans="1:10" ht="28" x14ac:dyDescent="0.3">
      <c r="A82" s="14">
        <f t="shared" si="0"/>
        <v>80</v>
      </c>
      <c r="B82" s="23"/>
      <c r="C82" s="23"/>
      <c r="D82" s="14" t="s">
        <v>135</v>
      </c>
      <c r="E82" s="14"/>
      <c r="F82" s="14"/>
      <c r="G82" s="14" t="s">
        <v>130</v>
      </c>
      <c r="H82" s="15" t="s">
        <v>197</v>
      </c>
      <c r="I82" s="14"/>
      <c r="J82" s="19" t="s">
        <v>254</v>
      </c>
    </row>
    <row r="83" spans="1:10" x14ac:dyDescent="0.3">
      <c r="A83" s="14">
        <f t="shared" si="0"/>
        <v>81</v>
      </c>
      <c r="B83" s="23"/>
      <c r="C83" s="23"/>
      <c r="D83" s="14" t="s">
        <v>200</v>
      </c>
      <c r="E83" s="14"/>
      <c r="F83" s="14"/>
      <c r="G83" s="14" t="s">
        <v>131</v>
      </c>
      <c r="H83" s="15" t="s">
        <v>201</v>
      </c>
      <c r="I83" s="14"/>
      <c r="J83" s="19" t="s">
        <v>254</v>
      </c>
    </row>
    <row r="84" spans="1:10" ht="28" x14ac:dyDescent="0.3">
      <c r="A84" s="14">
        <f t="shared" si="0"/>
        <v>82</v>
      </c>
      <c r="B84" s="23"/>
      <c r="C84" s="23"/>
      <c r="D84" s="14" t="s">
        <v>123</v>
      </c>
      <c r="E84" s="14"/>
      <c r="F84" s="14"/>
      <c r="G84" s="14" t="s">
        <v>131</v>
      </c>
      <c r="H84" s="15" t="s">
        <v>198</v>
      </c>
      <c r="I84" s="14"/>
      <c r="J84" s="19" t="s">
        <v>254</v>
      </c>
    </row>
    <row r="85" spans="1:10" x14ac:dyDescent="0.3">
      <c r="A85" s="14">
        <f t="shared" si="0"/>
        <v>83</v>
      </c>
      <c r="B85" s="23"/>
      <c r="C85" s="23"/>
      <c r="D85" s="14" t="s">
        <v>124</v>
      </c>
      <c r="E85" s="14"/>
      <c r="F85" s="14"/>
      <c r="G85" s="14" t="s">
        <v>131</v>
      </c>
      <c r="H85" s="15" t="s">
        <v>199</v>
      </c>
      <c r="I85" s="14"/>
      <c r="J85" s="19" t="s">
        <v>254</v>
      </c>
    </row>
    <row r="86" spans="1:10" x14ac:dyDescent="0.3">
      <c r="A86" s="14">
        <f t="shared" si="0"/>
        <v>84</v>
      </c>
      <c r="B86" s="23"/>
      <c r="C86" s="23" t="s">
        <v>46</v>
      </c>
      <c r="D86" s="23" t="s">
        <v>49</v>
      </c>
      <c r="E86" s="14" t="s">
        <v>51</v>
      </c>
      <c r="F86" s="14"/>
      <c r="G86" s="14" t="s">
        <v>131</v>
      </c>
      <c r="H86" s="15" t="s">
        <v>205</v>
      </c>
      <c r="I86" s="14"/>
      <c r="J86" s="19" t="s">
        <v>254</v>
      </c>
    </row>
    <row r="87" spans="1:10" x14ac:dyDescent="0.3">
      <c r="A87" s="14">
        <f t="shared" si="0"/>
        <v>85</v>
      </c>
      <c r="B87" s="23"/>
      <c r="C87" s="23"/>
      <c r="D87" s="23"/>
      <c r="E87" s="14" t="s">
        <v>52</v>
      </c>
      <c r="F87" s="14"/>
      <c r="G87" s="14" t="s">
        <v>131</v>
      </c>
      <c r="H87" s="15" t="s">
        <v>202</v>
      </c>
      <c r="I87" s="14"/>
      <c r="J87" s="19" t="s">
        <v>254</v>
      </c>
    </row>
    <row r="88" spans="1:10" x14ac:dyDescent="0.3">
      <c r="A88" s="14">
        <f t="shared" si="0"/>
        <v>86</v>
      </c>
      <c r="B88" s="23"/>
      <c r="C88" s="23"/>
      <c r="D88" s="14" t="s">
        <v>47</v>
      </c>
      <c r="E88" s="14"/>
      <c r="F88" s="14"/>
      <c r="G88" s="14" t="s">
        <v>131</v>
      </c>
      <c r="H88" s="15" t="s">
        <v>203</v>
      </c>
      <c r="I88" s="14"/>
      <c r="J88" s="19" t="s">
        <v>254</v>
      </c>
    </row>
    <row r="89" spans="1:10" x14ac:dyDescent="0.3">
      <c r="A89" s="14">
        <f t="shared" si="0"/>
        <v>87</v>
      </c>
      <c r="B89" s="23"/>
      <c r="C89" s="23"/>
      <c r="D89" s="14" t="s">
        <v>48</v>
      </c>
      <c r="E89" s="14"/>
      <c r="F89" s="14"/>
      <c r="G89" s="14" t="s">
        <v>131</v>
      </c>
      <c r="H89" s="15" t="s">
        <v>204</v>
      </c>
      <c r="I89" s="14"/>
      <c r="J89" s="19" t="s">
        <v>254</v>
      </c>
    </row>
    <row r="90" spans="1:10" ht="28" x14ac:dyDescent="0.3">
      <c r="A90" s="14">
        <f t="shared" si="0"/>
        <v>88</v>
      </c>
      <c r="B90" s="26" t="s">
        <v>53</v>
      </c>
      <c r="C90" s="26" t="s">
        <v>127</v>
      </c>
      <c r="D90" s="14" t="s">
        <v>129</v>
      </c>
      <c r="E90" s="14"/>
      <c r="F90" s="14"/>
      <c r="G90" s="14" t="s">
        <v>131</v>
      </c>
      <c r="H90" s="15" t="s">
        <v>206</v>
      </c>
      <c r="I90" s="14"/>
      <c r="J90" s="19" t="s">
        <v>254</v>
      </c>
    </row>
    <row r="91" spans="1:10" ht="28" x14ac:dyDescent="0.3">
      <c r="A91" s="14">
        <f t="shared" si="0"/>
        <v>89</v>
      </c>
      <c r="B91" s="27"/>
      <c r="C91" s="28"/>
      <c r="D91" s="14" t="s">
        <v>128</v>
      </c>
      <c r="E91" s="14"/>
      <c r="F91" s="14"/>
      <c r="G91" s="14" t="s">
        <v>131</v>
      </c>
      <c r="H91" s="15" t="s">
        <v>207</v>
      </c>
      <c r="I91" s="14"/>
      <c r="J91" s="19" t="s">
        <v>254</v>
      </c>
    </row>
    <row r="92" spans="1:10" x14ac:dyDescent="0.3">
      <c r="A92" s="14">
        <f t="shared" si="0"/>
        <v>90</v>
      </c>
      <c r="B92" s="27"/>
      <c r="C92" s="14" t="s">
        <v>54</v>
      </c>
      <c r="D92" s="18"/>
      <c r="E92" s="14"/>
      <c r="F92" s="14"/>
      <c r="G92" s="14" t="s">
        <v>131</v>
      </c>
      <c r="H92" s="15" t="s">
        <v>208</v>
      </c>
      <c r="I92" s="14"/>
      <c r="J92" s="19" t="s">
        <v>254</v>
      </c>
    </row>
    <row r="93" spans="1:10" x14ac:dyDescent="0.3">
      <c r="A93" s="14">
        <f t="shared" si="0"/>
        <v>91</v>
      </c>
      <c r="B93" s="27"/>
      <c r="C93" s="26" t="s">
        <v>137</v>
      </c>
      <c r="D93" s="14" t="s">
        <v>136</v>
      </c>
      <c r="E93" s="14"/>
      <c r="F93" s="14"/>
      <c r="G93" s="14" t="s">
        <v>131</v>
      </c>
      <c r="H93" s="15" t="s">
        <v>231</v>
      </c>
      <c r="I93" s="14"/>
      <c r="J93" s="19" t="s">
        <v>254</v>
      </c>
    </row>
    <row r="94" spans="1:10" x14ac:dyDescent="0.3">
      <c r="A94" s="14">
        <f t="shared" si="0"/>
        <v>92</v>
      </c>
      <c r="B94" s="28"/>
      <c r="C94" s="28"/>
      <c r="D94" s="14" t="s">
        <v>126</v>
      </c>
      <c r="E94" s="14"/>
      <c r="F94" s="14"/>
      <c r="G94" s="14" t="s">
        <v>131</v>
      </c>
      <c r="H94" s="15" t="s">
        <v>230</v>
      </c>
      <c r="I94" s="14"/>
      <c r="J94" s="19" t="s">
        <v>254</v>
      </c>
    </row>
    <row r="95" spans="1:10" x14ac:dyDescent="0.3">
      <c r="A95" s="8"/>
      <c r="B95" s="8"/>
      <c r="C95" s="8"/>
      <c r="D95" s="8"/>
      <c r="E95" s="8"/>
      <c r="F95" s="8"/>
      <c r="G95" s="8"/>
      <c r="H95" s="9"/>
      <c r="I95" s="8"/>
    </row>
    <row r="96" spans="1:10" x14ac:dyDescent="0.3">
      <c r="A96" s="10"/>
      <c r="B96" s="10"/>
      <c r="C96" s="10"/>
      <c r="D96" s="10"/>
      <c r="E96" s="10"/>
      <c r="F96" s="10"/>
      <c r="G96" s="10"/>
      <c r="H96" s="11"/>
      <c r="I96" s="10"/>
    </row>
    <row r="97" spans="1:11" ht="28" x14ac:dyDescent="0.3">
      <c r="A97" s="2">
        <f>ROW()-4</f>
        <v>93</v>
      </c>
      <c r="B97" s="25" t="s">
        <v>25</v>
      </c>
      <c r="C97" s="25" t="s">
        <v>30</v>
      </c>
      <c r="D97" s="2" t="s">
        <v>31</v>
      </c>
      <c r="E97" s="2"/>
      <c r="F97" s="2"/>
      <c r="G97" s="2"/>
      <c r="H97" s="7" t="s">
        <v>232</v>
      </c>
      <c r="I97" s="2"/>
    </row>
    <row r="98" spans="1:11" x14ac:dyDescent="0.3">
      <c r="A98" s="1">
        <f t="shared" ref="A98:A110" si="1">ROW()-4</f>
        <v>94</v>
      </c>
      <c r="B98" s="24"/>
      <c r="C98" s="24"/>
      <c r="D98" s="1" t="s">
        <v>33</v>
      </c>
      <c r="E98" s="1"/>
      <c r="F98" s="1"/>
      <c r="G98" s="1"/>
      <c r="H98" s="5" t="s">
        <v>233</v>
      </c>
      <c r="I98" s="1"/>
    </row>
    <row r="99" spans="1:11" x14ac:dyDescent="0.3">
      <c r="A99" s="1">
        <f t="shared" si="1"/>
        <v>95</v>
      </c>
      <c r="B99" s="24"/>
      <c r="C99" s="24"/>
      <c r="D99" s="1" t="s">
        <v>34</v>
      </c>
      <c r="E99" s="1"/>
      <c r="F99" s="1"/>
      <c r="G99" s="1"/>
      <c r="H99" s="5" t="s">
        <v>234</v>
      </c>
      <c r="I99" s="1"/>
    </row>
    <row r="100" spans="1:11" x14ac:dyDescent="0.3">
      <c r="A100" s="1">
        <f t="shared" si="1"/>
        <v>96</v>
      </c>
      <c r="B100" s="24"/>
      <c r="C100" s="24" t="s">
        <v>32</v>
      </c>
      <c r="D100" s="1" t="s">
        <v>35</v>
      </c>
      <c r="E100" s="1"/>
      <c r="F100" s="1"/>
      <c r="G100" s="1"/>
      <c r="H100" s="5" t="s">
        <v>235</v>
      </c>
      <c r="I100" s="1"/>
    </row>
    <row r="101" spans="1:11" x14ac:dyDescent="0.3">
      <c r="A101" s="1">
        <f t="shared" si="1"/>
        <v>97</v>
      </c>
      <c r="B101" s="24"/>
      <c r="C101" s="24"/>
      <c r="D101" s="1" t="s">
        <v>36</v>
      </c>
      <c r="E101" s="1"/>
      <c r="F101" s="1"/>
      <c r="G101" s="1"/>
      <c r="H101" s="5" t="s">
        <v>236</v>
      </c>
      <c r="I101" s="1"/>
    </row>
    <row r="102" spans="1:11" x14ac:dyDescent="0.3">
      <c r="A102" s="1">
        <f t="shared" si="1"/>
        <v>98</v>
      </c>
      <c r="B102" s="24"/>
      <c r="C102" s="24"/>
      <c r="D102" s="1" t="s">
        <v>37</v>
      </c>
      <c r="E102" s="1"/>
      <c r="F102" s="1"/>
      <c r="G102" s="1"/>
      <c r="H102" s="5" t="s">
        <v>237</v>
      </c>
      <c r="I102" s="1"/>
    </row>
    <row r="103" spans="1:11" x14ac:dyDescent="0.3">
      <c r="A103" s="1">
        <f t="shared" si="1"/>
        <v>99</v>
      </c>
      <c r="B103" s="24"/>
      <c r="C103" s="1" t="s">
        <v>38</v>
      </c>
      <c r="D103" s="1"/>
      <c r="E103" s="1"/>
      <c r="F103" s="1"/>
      <c r="G103" s="1"/>
      <c r="H103" s="5" t="s">
        <v>238</v>
      </c>
      <c r="I103" s="1"/>
    </row>
    <row r="104" spans="1:11" ht="28" x14ac:dyDescent="0.3">
      <c r="A104" s="1">
        <f t="shared" si="1"/>
        <v>100</v>
      </c>
      <c r="B104" s="24" t="s">
        <v>39</v>
      </c>
      <c r="C104" s="24" t="s">
        <v>40</v>
      </c>
      <c r="D104" s="1" t="s">
        <v>41</v>
      </c>
      <c r="E104" s="1"/>
      <c r="F104" s="1"/>
      <c r="G104" s="1"/>
      <c r="H104" s="12" t="s">
        <v>247</v>
      </c>
      <c r="I104" s="1"/>
    </row>
    <row r="105" spans="1:11" x14ac:dyDescent="0.3">
      <c r="A105" s="1">
        <f t="shared" si="1"/>
        <v>101</v>
      </c>
      <c r="B105" s="24"/>
      <c r="C105" s="24"/>
      <c r="D105" s="1" t="s">
        <v>243</v>
      </c>
      <c r="E105" s="1"/>
      <c r="F105" s="1"/>
      <c r="G105" s="1"/>
      <c r="H105" s="5" t="s">
        <v>246</v>
      </c>
      <c r="I105" s="1"/>
    </row>
    <row r="106" spans="1:11" x14ac:dyDescent="0.3">
      <c r="A106" s="1">
        <f t="shared" si="1"/>
        <v>102</v>
      </c>
      <c r="B106" s="24"/>
      <c r="C106" s="24"/>
      <c r="D106" s="1" t="s">
        <v>42</v>
      </c>
      <c r="E106" s="1"/>
      <c r="F106" s="1"/>
      <c r="G106" s="1"/>
      <c r="H106" s="3" t="s">
        <v>245</v>
      </c>
      <c r="I106" s="1"/>
    </row>
    <row r="107" spans="1:11" ht="28" x14ac:dyDescent="0.3">
      <c r="A107" s="1">
        <f t="shared" si="1"/>
        <v>103</v>
      </c>
      <c r="B107" s="24"/>
      <c r="C107" s="24" t="s">
        <v>44</v>
      </c>
      <c r="D107" s="1" t="s">
        <v>35</v>
      </c>
      <c r="E107" s="1"/>
      <c r="F107" s="1"/>
      <c r="G107" s="1"/>
      <c r="H107" s="5" t="s">
        <v>242</v>
      </c>
      <c r="I107" s="1"/>
    </row>
    <row r="108" spans="1:11" x14ac:dyDescent="0.3">
      <c r="A108" s="1">
        <f t="shared" si="1"/>
        <v>104</v>
      </c>
      <c r="B108" s="24"/>
      <c r="C108" s="24"/>
      <c r="D108" s="1" t="s">
        <v>43</v>
      </c>
      <c r="E108" s="1"/>
      <c r="F108" s="1"/>
      <c r="G108" s="1"/>
      <c r="H108" s="5" t="s">
        <v>244</v>
      </c>
      <c r="I108" s="1"/>
    </row>
    <row r="109" spans="1:11" x14ac:dyDescent="0.3">
      <c r="A109" s="1">
        <f t="shared" si="1"/>
        <v>105</v>
      </c>
      <c r="B109" s="24"/>
      <c r="C109" s="24"/>
      <c r="D109" s="1" t="s">
        <v>45</v>
      </c>
      <c r="E109" s="1"/>
      <c r="F109" s="1"/>
      <c r="G109" s="1"/>
      <c r="H109" s="5" t="s">
        <v>241</v>
      </c>
      <c r="I109" s="1"/>
    </row>
    <row r="110" spans="1:11" x14ac:dyDescent="0.3">
      <c r="A110" s="1">
        <f t="shared" si="1"/>
        <v>106</v>
      </c>
      <c r="B110" s="24"/>
      <c r="C110" s="1" t="s">
        <v>239</v>
      </c>
      <c r="D110" s="1"/>
      <c r="E110" s="1"/>
      <c r="F110" s="1"/>
      <c r="G110" s="1"/>
      <c r="H110" s="5" t="s">
        <v>240</v>
      </c>
      <c r="I110" s="1"/>
    </row>
    <row r="111" spans="1:11" x14ac:dyDescent="0.3">
      <c r="H111" s="21"/>
      <c r="I111" s="4"/>
      <c r="J111" s="4" t="s">
        <v>271</v>
      </c>
      <c r="K111" s="4" t="s">
        <v>267</v>
      </c>
    </row>
    <row r="112" spans="1:11" x14ac:dyDescent="0.3">
      <c r="H112" s="21" t="s">
        <v>259</v>
      </c>
      <c r="I112" s="4"/>
      <c r="J112" s="4">
        <v>57</v>
      </c>
      <c r="K112" s="4" t="s">
        <v>268</v>
      </c>
    </row>
    <row r="113" spans="8:11" x14ac:dyDescent="0.3">
      <c r="H113" s="21" t="s">
        <v>260</v>
      </c>
      <c r="I113" s="4"/>
      <c r="J113" s="4">
        <v>106</v>
      </c>
      <c r="K113" s="4" t="s">
        <v>268</v>
      </c>
    </row>
    <row r="114" spans="8:11" x14ac:dyDescent="0.3">
      <c r="H114" s="21" t="s">
        <v>261</v>
      </c>
      <c r="I114" s="4"/>
      <c r="J114" s="22">
        <f>57/106</f>
        <v>0.53773584905660377</v>
      </c>
      <c r="K114" s="4"/>
    </row>
    <row r="115" spans="8:11" x14ac:dyDescent="0.3">
      <c r="H115" s="21" t="s">
        <v>262</v>
      </c>
      <c r="I115" s="4"/>
      <c r="J115" s="4">
        <v>2371.1999999999998</v>
      </c>
      <c r="K115" s="4" t="s">
        <v>266</v>
      </c>
    </row>
    <row r="116" spans="8:11" x14ac:dyDescent="0.3">
      <c r="H116" s="21" t="s">
        <v>263</v>
      </c>
      <c r="I116" s="4"/>
      <c r="J116" s="4">
        <f>J114*J115/8</f>
        <v>159.38490566037734</v>
      </c>
      <c r="K116" s="4" t="s">
        <v>269</v>
      </c>
    </row>
    <row r="117" spans="8:11" x14ac:dyDescent="0.3">
      <c r="H117" s="21" t="s">
        <v>264</v>
      </c>
      <c r="I117" s="4"/>
      <c r="J117" s="4">
        <v>1500</v>
      </c>
      <c r="K117" s="4" t="s">
        <v>270</v>
      </c>
    </row>
    <row r="118" spans="8:11" x14ac:dyDescent="0.3">
      <c r="H118" s="21" t="s">
        <v>265</v>
      </c>
      <c r="I118" s="4"/>
      <c r="J118" s="4">
        <f>J116*J117</f>
        <v>239077.35849056602</v>
      </c>
      <c r="K118" s="4" t="s">
        <v>270</v>
      </c>
    </row>
  </sheetData>
  <autoFilter ref="A2:K94" xr:uid="{1BED0C60-323D-443F-B41C-1E348DB13D51}"/>
  <mergeCells count="48">
    <mergeCell ref="A1:J1"/>
    <mergeCell ref="C56:C60"/>
    <mergeCell ref="C27:C28"/>
    <mergeCell ref="C93:C94"/>
    <mergeCell ref="C50:C54"/>
    <mergeCell ref="D48:D49"/>
    <mergeCell ref="D40:D41"/>
    <mergeCell ref="C33:C41"/>
    <mergeCell ref="C47:C49"/>
    <mergeCell ref="D71:D72"/>
    <mergeCell ref="D76:D78"/>
    <mergeCell ref="D74:D75"/>
    <mergeCell ref="D68:D69"/>
    <mergeCell ref="D63:D64"/>
    <mergeCell ref="C61:C65"/>
    <mergeCell ref="C66:C70"/>
    <mergeCell ref="D86:D87"/>
    <mergeCell ref="C29:C32"/>
    <mergeCell ref="D25:D26"/>
    <mergeCell ref="D34:D37"/>
    <mergeCell ref="C42:C43"/>
    <mergeCell ref="C21:C26"/>
    <mergeCell ref="C107:C109"/>
    <mergeCell ref="B104:B110"/>
    <mergeCell ref="B97:B103"/>
    <mergeCell ref="C79:C85"/>
    <mergeCell ref="B90:B94"/>
    <mergeCell ref="C90:C91"/>
    <mergeCell ref="B79:B89"/>
    <mergeCell ref="C86:C89"/>
    <mergeCell ref="C97:C99"/>
    <mergeCell ref="C100:C102"/>
    <mergeCell ref="C104:C106"/>
    <mergeCell ref="B27:B46"/>
    <mergeCell ref="D4:D5"/>
    <mergeCell ref="E6:E9"/>
    <mergeCell ref="C71:C78"/>
    <mergeCell ref="B61:B78"/>
    <mergeCell ref="C3:C13"/>
    <mergeCell ref="D6:D12"/>
    <mergeCell ref="E11:E12"/>
    <mergeCell ref="C14:C16"/>
    <mergeCell ref="B3:B26"/>
    <mergeCell ref="C18:C20"/>
    <mergeCell ref="B47:B60"/>
    <mergeCell ref="D21:D24"/>
    <mergeCell ref="C44:C46"/>
    <mergeCell ref="D30:D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F385-5C69-4BC8-A1C0-EE855E0A1AF8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qianxiao zhang</dc:creator>
  <cp:lastModifiedBy>Qianxiao Zhang 张千晓</cp:lastModifiedBy>
  <dcterms:created xsi:type="dcterms:W3CDTF">2024-11-15T07:04:33Z</dcterms:created>
  <dcterms:modified xsi:type="dcterms:W3CDTF">2025-08-13T02:57:36Z</dcterms:modified>
</cp:coreProperties>
</file>